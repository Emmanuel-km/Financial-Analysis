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ta" sheetId="2" state="visible" r:id="rId4"/>
    <sheet name="Summary Stats" sheetId="3" state="visible" r:id="rId5"/>
    <sheet name="Regression" sheetId="4" state="visible" r:id="rId6"/>
    <sheet name="Scenarios" sheetId="5" state="visible" r:id="rId7"/>
    <sheet name="Forecast Table" sheetId="6" state="visible" r:id="rId8"/>
    <sheet name="Cross-check" sheetId="7" state="visible" r:id="rId9"/>
    <sheet name="Chart Data" sheetId="8" state="visible" r:id="rId10"/>
    <sheet name="Chart" sheetId="9" state="visible" r:id="rId11"/>
    <sheet name="Qualitative Factors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<sst xmlns="http://schemas.openxmlformats.org/spreadsheetml/2006/main" count="208" uniqueCount="175">
  <si>
    <t xml:space="preserve">TotalEnergies Marketing Kenya Plc (TOTL): Share Price Forecasting Model, Jan-Dec 2027</t>
  </si>
  <si>
    <t xml:space="preserve">Data source</t>
  </si>
  <si>
    <t xml:space="preserve">Historical monthly data (Jan 2023 - Oct 2026) supplied by the user from Rock Data Plus / Rock Investment Bank repository. Not independently verified against NSE, CBK or KNBS.</t>
  </si>
  <si>
    <t xml:space="preserve">Sheets</t>
  </si>
  <si>
    <t xml:space="preserve">Data: inputs + returns | Summary Stats: historical findings | Regression: LINEST model | Scenarios: 2027 assumptions and calculations | Forecast Table: results only | Cross-check: price-only methods | Chart | Qualitative Factors</t>
  </si>
  <si>
    <t xml:space="preserve">Colour code</t>
  </si>
  <si>
    <t xml:space="preserve">Blue text = hard-coded input or assumption (change these). Black = formula. Green = link from another sheet. Yellow fill = key assumptions you may edit.</t>
  </si>
  <si>
    <t xml:space="preserve">Method</t>
  </si>
  <si>
    <t xml:space="preserve">(1) Monthly return = % change in price. (2) OLS regression of return on change in interest rate (pp) and % change in KES/USD, estimated with LINEST on Jun 2023 - Oct 2026 (n=41). (3) For each 2027 scenario, predicted return = drift + b1 x change in rate + b2 x % change in FX. (4) Price(t) = Price(t-1) x (1 + return). Start price = Oct 2026 actual.</t>
  </si>
  <si>
    <t xml:space="preserve">What is estimated vs assumed</t>
  </si>
  <si>
    <t xml:space="preserve">ESTIMATED from data: regression coefficients, standard errors, R-squared, p-values. ASSUMED by the analyst: the 2027 interest-rate and exchange-rate paths, and the drift choice in each scenario (base = 50% of intercept, optimistic = 100%, pessimistic = lower 95% bound). These are not official forecasts.</t>
  </si>
  <si>
    <t xml:space="preserve">Reliability</t>
  </si>
  <si>
    <t xml:space="preserve">The regression is NOT statistically significant (R-squared about 1.8%, F-test p about 0.70). Results are scenarios, not predictions, and do not show that interest rates or exchange rates cause price changes.</t>
  </si>
  <si>
    <t xml:space="preserve">Gap months</t>
  </si>
  <si>
    <t xml:space="preserve">Nov-Dec 2026 are not modelled. The 2027 path starts from the Oct 2026 price, rate and exchange rate (Oct 2026 may be provisional).</t>
  </si>
  <si>
    <t xml:space="preserve">Cross-check sheet</t>
  </si>
  <si>
    <t xml:space="preserve">Naive, random-walk-with-drift and linear-trend columns are live formulas. Damped Holt and ARIMA(1,1,0) values were computed in Python (statsmodels) and are pasted as blue hard-codes.</t>
  </si>
  <si>
    <t xml:space="preserve">Month</t>
  </si>
  <si>
    <t xml:space="preserve">Price (KES)</t>
  </si>
  <si>
    <t xml:space="preserve">Inflation (%)</t>
  </si>
  <si>
    <t xml:space="preserve">Exchange rate (KES/USD)</t>
  </si>
  <si>
    <t xml:space="preserve">Interest rate</t>
  </si>
  <si>
    <t xml:space="preserve">Monthly return (%)</t>
  </si>
  <si>
    <t xml:space="preserve">Change in rate (pp)</t>
  </si>
  <si>
    <t xml:space="preserve">Change in KES/USD (%)</t>
  </si>
  <si>
    <t xml:space="preserve">Log return</t>
  </si>
  <si>
    <t xml:space="preserve">t index (last 24m)</t>
  </si>
  <si>
    <t xml:space="preserve">Note: Data are as supplied (Rock Data Plus). Exchange-rate data begin May 2023, so the regression uses rows 7-47 (Jun 2023 - Oct 2026). Interest rate stored as a fraction (0.0875 = 8.75%).</t>
  </si>
  <si>
    <t xml:space="preserve">Historical findings (calculated from Data sheet)</t>
  </si>
  <si>
    <t xml:space="preserve">Measure</t>
  </si>
  <si>
    <t xml:space="preserve">Value</t>
  </si>
  <si>
    <t xml:space="preserve">Note</t>
  </si>
  <si>
    <t xml:space="preserve">First price (Jan 2023, KES)</t>
  </si>
  <si>
    <t xml:space="preserve">Latest price (Oct 2026, KES)</t>
  </si>
  <si>
    <t xml:space="preserve">Oct 2026 may be provisional</t>
  </si>
  <si>
    <t xml:space="preserve">Cumulative change</t>
  </si>
  <si>
    <t xml:space="preserve">Highest price (KES)</t>
  </si>
  <si>
    <t xml:space="preserve">Lowest price (KES)</t>
  </si>
  <si>
    <t xml:space="preserve">Mean monthly return (%)</t>
  </si>
  <si>
    <t xml:space="preserve">n = 45 returns</t>
  </si>
  <si>
    <t xml:space="preserve">Median monthly return (%)</t>
  </si>
  <si>
    <t xml:space="preserve">Std deviation of monthly return (%)</t>
  </si>
  <si>
    <t xml:space="preserve">Volatility</t>
  </si>
  <si>
    <t xml:space="preserve">Largest monthly gain (%)</t>
  </si>
  <si>
    <t xml:space="preserve">Largest monthly fall (%)</t>
  </si>
  <si>
    <t xml:space="preserve">Correlation: return vs change in rate</t>
  </si>
  <si>
    <t xml:space="preserve">Monthly changes, n = 41</t>
  </si>
  <si>
    <t xml:space="preserve">Correlation: return vs change in KES/USD</t>
  </si>
  <si>
    <t xml:space="preserve">Correlation: price vs interest rate (levels)</t>
  </si>
  <si>
    <t xml:space="preserve">Levels trend together: not evidence of cause</t>
  </si>
  <si>
    <t xml:space="preserve">Correlation: price vs inflation (levels)</t>
  </si>
  <si>
    <t xml:space="preserve">Same caution</t>
  </si>
  <si>
    <t xml:space="preserve">Correlation: price vs KES/USD (levels)</t>
  </si>
  <si>
    <t xml:space="preserve">May 2023 onward</t>
  </si>
  <si>
    <t xml:space="preserve">Year</t>
  </si>
  <si>
    <t xml:space="preserve">Start price</t>
  </si>
  <si>
    <t xml:space="preserve">End price</t>
  </si>
  <si>
    <t xml:space="preserve">Change</t>
  </si>
  <si>
    <t xml:space="preserve">2023</t>
  </si>
  <si>
    <t xml:space="preserve">2024</t>
  </si>
  <si>
    <t xml:space="preserve">2025</t>
  </si>
  <si>
    <t xml:space="preserve">2026 (to Oct)</t>
  </si>
  <si>
    <t xml:space="preserve">Regression: Return = b0 + b1 x Change in rate + b2 x Change in KES/USD</t>
  </si>
  <si>
    <t xml:space="preserve">Y = Data!F7:F47 (return, %). X1 = Data!G7:H47 columns G (change in rate, pp) and H (% change in KES/USD). Estimated with LINEST (same result as Excel Data Analysis &gt; Regression).</t>
  </si>
  <si>
    <t xml:space="preserve">Term</t>
  </si>
  <si>
    <t xml:space="preserve">Coefficient</t>
  </si>
  <si>
    <t xml:space="preserve">Std error</t>
  </si>
  <si>
    <t xml:space="preserve">t-stat</t>
  </si>
  <si>
    <t xml:space="preserve">p-value</t>
  </si>
  <si>
    <t xml:space="preserve">Lower 95%</t>
  </si>
  <si>
    <t xml:space="preserve">Upper 95%</t>
  </si>
  <si>
    <t xml:space="preserve">Intercept (b0)</t>
  </si>
  <si>
    <t xml:space="preserve">Change in rate (b1)</t>
  </si>
  <si>
    <t xml:space="preserve">Change in KES/USD (b2)</t>
  </si>
  <si>
    <t xml:space="preserve">Statistic</t>
  </si>
  <si>
    <t xml:space="preserve">R-squared</t>
  </si>
  <si>
    <t xml:space="preserve">Adjusted R-squared</t>
  </si>
  <si>
    <t xml:space="preserve">F-statistic</t>
  </si>
  <si>
    <t xml:space="preserve">F-test p-value</t>
  </si>
  <si>
    <t xml:space="preserve">Std error of regression</t>
  </si>
  <si>
    <t xml:space="preserve">Observations (n)</t>
  </si>
  <si>
    <t xml:space="preserve">Residual degrees of freedom</t>
  </si>
  <si>
    <t xml:space="preserve">Interpretation</t>
  </si>
  <si>
    <t xml:space="preserve">b0: average monthly return (%) when rates and FX do not change.</t>
  </si>
  <si>
    <t xml:space="preserve">b1: change in monthly return (pp) for a 1 percentage-point rise in the interest rate, holding FX constant.</t>
  </si>
  <si>
    <t xml:space="preserve">b2: change in monthly return (pp) for a 1% weaker shilling, holding the rate constant.</t>
  </si>
  <si>
    <t xml:space="preserve">p-values above 0.05 mean the coefficient is not statistically different from zero; the F-test p-value tests all slopes together.</t>
  </si>
  <si>
    <t xml:space="preserve">Low R-squared and high p-values: the macro variables explain almost none of the return variation. This is correlation, not proof of causation.</t>
  </si>
  <si>
    <t xml:space="preserve">2027 scenario assumptions and calculations</t>
  </si>
  <si>
    <t xml:space="preserve">Assumption</t>
  </si>
  <si>
    <t xml:space="preserve">Source / note</t>
  </si>
  <si>
    <t xml:space="preserve">Starting price, Oct 2026 (KES)</t>
  </si>
  <si>
    <t xml:space="preserve">Actual (Rock Data Plus)</t>
  </si>
  <si>
    <t xml:space="preserve">Starting interest rate</t>
  </si>
  <si>
    <t xml:space="preserve">Actual</t>
  </si>
  <si>
    <t xml:space="preserve">Starting KES/USD</t>
  </si>
  <si>
    <t xml:space="preserve">Intercept b0 (% per month)</t>
  </si>
  <si>
    <t xml:space="preserve">Estimated</t>
  </si>
  <si>
    <t xml:space="preserve">b1: rate coefficient</t>
  </si>
  <si>
    <t xml:space="preserve">b2: FX coefficient</t>
  </si>
  <si>
    <t xml:space="preserve">Lower 95% bound of intercept</t>
  </si>
  <si>
    <t xml:space="preserve">Base: share of intercept used as drift</t>
  </si>
  <si>
    <t xml:space="preserve">ASSUMPTION: intercept is not significant at 5% and reflects the 2025-26 rally</t>
  </si>
  <si>
    <t xml:space="preserve">Optimistic: share of intercept used as drift</t>
  </si>
  <si>
    <t xml:space="preserve">ASSUMPTION</t>
  </si>
  <si>
    <t xml:space="preserve">Base drift (% per month)</t>
  </si>
  <si>
    <t xml:space="preserve">Share x intercept</t>
  </si>
  <si>
    <t xml:space="preserve">Optimistic drift (% per month)</t>
  </si>
  <si>
    <t xml:space="preserve">Pessimistic drift (% per month)</t>
  </si>
  <si>
    <t xml:space="preserve">BASE CASE: rate and FX held flat</t>
  </si>
  <si>
    <t xml:space="preserve">Change in rate (pp) [input]</t>
  </si>
  <si>
    <t xml:space="preserve">Change in KES/USD (%) [input]</t>
  </si>
  <si>
    <t xml:space="preserve">KES/USD</t>
  </si>
  <si>
    <t xml:space="preserve">Predicted return (%)</t>
  </si>
  <si>
    <t xml:space="preserve">Projected price (KES)</t>
  </si>
  <si>
    <t xml:space="preserve">OPTIMISTIC CASE: rate cuts, FX flat</t>
  </si>
  <si>
    <t xml:space="preserve">PESSIMISTIC CASE: rate rises, shilling weakens 0.5% a month</t>
  </si>
  <si>
    <t xml:space="preserve">Rate and FX paths are analyst assumptions, not CBK/KNBS forecasts. Edit the yellow cells to run your own scenario.</t>
  </si>
  <si>
    <t xml:space="preserve">January - December 2027: scenario projections (model-based; assumptions, not observations)</t>
  </si>
  <si>
    <t xml:space="preserve">Base: rate</t>
  </si>
  <si>
    <t xml:space="preserve">Base: KES/USD</t>
  </si>
  <si>
    <t xml:space="preserve">Base: return (%)</t>
  </si>
  <si>
    <t xml:space="preserve">Base: price (KES)</t>
  </si>
  <si>
    <t xml:space="preserve">Optimistic: rate</t>
  </si>
  <si>
    <t xml:space="preserve">Optimistic: KES/USD</t>
  </si>
  <si>
    <t xml:space="preserve">Optimistic: return (%)</t>
  </si>
  <si>
    <t xml:space="preserve">Optimistic: price (KES)</t>
  </si>
  <si>
    <t xml:space="preserve">Pessimistic: rate</t>
  </si>
  <si>
    <t xml:space="preserve">Pessimistic: KES/USD</t>
  </si>
  <si>
    <t xml:space="preserve">Pessimistic: return (%)</t>
  </si>
  <si>
    <t xml:space="preserve">Pessimistic: price (KES)</t>
  </si>
  <si>
    <t xml:space="preserve">Dec-27 vs Oct-26</t>
  </si>
  <si>
    <t xml:space="preserve">Price-only cross-check methods (KES): use only the share price series, no macro variables</t>
  </si>
  <si>
    <t xml:space="preserve">Mean log monthly return</t>
  </si>
  <si>
    <t xml:space="preserve">24-month trend slope (KES/month)</t>
  </si>
  <si>
    <t xml:space="preserve">24-month trend intercept</t>
  </si>
  <si>
    <t xml:space="preserve">Naive (no change)</t>
  </si>
  <si>
    <t xml:space="preserve">Random walk + drift</t>
  </si>
  <si>
    <t xml:space="preserve">Damped Holt trend</t>
  </si>
  <si>
    <t xml:space="preserve">ARIMA(1,1,0) + drift</t>
  </si>
  <si>
    <t xml:space="preserve">Linear trend (last 24 months)</t>
  </si>
  <si>
    <t xml:space="preserve">Convention: every method starts from the Oct 2026 price and treats Jan 2027 as the first forecast step (Nov-Dec 2026 skipped), the same as the Scenarios sheet. Damped Holt and ARIMA(1,1,0) values are hard-coded from Python (statsmodels) fitted to the same price series; other columns are live formulas. Linear trend uses t = 1..24 for Nov-24 to Oct-26, so Jan-27 is t = 25.</t>
  </si>
  <si>
    <t xml:space="preserve">Base</t>
  </si>
  <si>
    <t xml:space="preserve">Optimistic</t>
  </si>
  <si>
    <t xml:space="preserve">Pessimistic</t>
  </si>
  <si>
    <t xml:space="preserve">Qualitative factors from the draft (Rock Data Plus context) and how this workbook treats them</t>
  </si>
  <si>
    <t xml:space="preserve">Factor</t>
  </si>
  <si>
    <t xml:space="preserve">Expected effect on TOTL (hypothesis, not proven)</t>
  </si>
  <si>
    <t xml:space="preserve">Data in this workbook?</t>
  </si>
  <si>
    <t xml:space="preserve">What the data show</t>
  </si>
  <si>
    <t xml:space="preserve">Treatment in 2027 scenarios</t>
  </si>
  <si>
    <t xml:space="preserve">Foreign exchange (KES/USD)</t>
  </si>
  <si>
    <t xml:space="preserve">Petroleum is priced in USD; a weaker shilling can raise import costs and squeeze margins, depending on pricing mechanisms and hedging.</t>
  </si>
  <si>
    <t xml:space="preserve">Yes</t>
  </si>
  <si>
    <t xml:space="preserve">Modelled: FX path assumption x b2</t>
  </si>
  <si>
    <t xml:space="preserve">Higher rates raise borrowing costs and make bonds more attractive vs shares, lowering valuations.</t>
  </si>
  <si>
    <t xml:space="preserve">Modelled: rate path assumption x b1</t>
  </si>
  <si>
    <t xml:space="preserve">Consumer price inflation</t>
  </si>
  <si>
    <t xml:space="preserve">Raises transport, distribution and labour costs and can reduce demand; effect depends on regulated vs market fuel prices.</t>
  </si>
  <si>
    <t xml:space="preserve">Yes (not in main model)</t>
  </si>
  <si>
    <t xml:space="preserve">Not modelled separately; captured partly via the rate path</t>
  </si>
  <si>
    <t xml:space="preserve">GDP growth</t>
  </si>
  <si>
    <t xml:space="preserve">Stronger growth supports fuel demand and volumes; slower growth constrains demand.</t>
  </si>
  <si>
    <t xml:space="preserve">No</t>
  </si>
  <si>
    <t xml:space="preserve">No GDP series supplied</t>
  </si>
  <si>
    <t xml:space="preserve">Qualitative only; add KNBS GDP data to test</t>
  </si>
  <si>
    <t xml:space="preserve">International oil prices</t>
  </si>
  <si>
    <t xml:space="preserve">Affect procurement cost, domestic fuel pricing and expectations.</t>
  </si>
  <si>
    <t xml:space="preserve">No oil-price series supplied</t>
  </si>
  <si>
    <t xml:space="preserve">Qualitative only; add Brent data to test</t>
  </si>
  <si>
    <t xml:space="preserve">Company-specific factors (earnings, dividends, competition, margins)</t>
  </si>
  <si>
    <t xml:space="preserve">Likely drivers of the 2025 rally, since rates and FX barely moved in Aug-Nov 2025.</t>
  </si>
  <si>
    <t xml:space="preserve">No financial statements supplied</t>
  </si>
  <si>
    <t xml:space="preserve">Not modelled; needed for a fundamental valuation (P/E, DDM)</t>
  </si>
  <si>
    <t xml:space="preserve">These effects are plausible channels, not confirmed relationships. Correlation does not prove causation.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</si>
</sst>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\-yy"/>
    <numFmt numFmtId="166" formatCode="0.00"/>
    <numFmt numFmtId="167" formatCode="0.0000"/>
    <numFmt numFmtId="168" formatCode="0.00%"/>
    <numFmt numFmtId="169" formatCode="0.0%"/>
    <numFmt numFmtId="170" formatCode="0.000"/>
    <numFmt numFmtId="171" formatCode="0"/>
    <numFmt numFmtId="172" formatCode="0.00;\-0.00;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264653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78787"/>
      <rgbColor rgb="FF9999FF"/>
      <rgbColor rgb="FF993366"/>
      <rgbColor rgb="FFFFFFCC"/>
      <rgbColor rgb="FFCCFFFF"/>
      <rgbColor rgb="FF660066"/>
      <rgbColor rgb="FFE76F51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A5F"/>
      <rgbColor rgb="FF2A9D8F"/>
      <rgbColor rgb="FF003300"/>
      <rgbColor rgb="FF333300"/>
      <rgbColor rgb="FF993300"/>
      <rgbColor rgb="FF993366"/>
      <rgbColor rgb="FF264653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TOTL share price: actual (Jan 2023 - Oct 2026) and 2027 scenarios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'Chart Data'!B1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rgbClr val="444444"/>
            </a:solidFill>
            <a:ln w="21960">
              <a:solidFill>
                <a:srgbClr val="44444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Data'!$A$2:$A$59</c:f>
              <c:strCache>
                <c:ptCount val="58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  <c:pt idx="18">
                  <c:v>Jul-24</c:v>
                </c:pt>
                <c:pt idx="19">
                  <c:v>Aug-24</c:v>
                </c:pt>
                <c:pt idx="20">
                  <c:v>Sep-24</c:v>
                </c:pt>
                <c:pt idx="21">
                  <c:v>Oct-24</c:v>
                </c:pt>
                <c:pt idx="22">
                  <c:v>Nov-24</c:v>
                </c:pt>
                <c:pt idx="23">
                  <c:v>Dec-24</c:v>
                </c:pt>
                <c:pt idx="24">
                  <c:v>Jan-25</c:v>
                </c:pt>
                <c:pt idx="25">
                  <c:v>Feb-25</c:v>
                </c:pt>
                <c:pt idx="26">
                  <c:v>Mar-25</c:v>
                </c:pt>
                <c:pt idx="27">
                  <c:v>Apr-25</c:v>
                </c:pt>
                <c:pt idx="28">
                  <c:v>May-25</c:v>
                </c:pt>
                <c:pt idx="29">
                  <c:v>Jun-25</c:v>
                </c:pt>
                <c:pt idx="30">
                  <c:v>Jul-25</c:v>
                </c:pt>
                <c:pt idx="31">
                  <c:v>Aug-25</c:v>
                </c:pt>
                <c:pt idx="32">
                  <c:v>Sep-25</c:v>
                </c:pt>
                <c:pt idx="33">
                  <c:v>Oct-25</c:v>
                </c:pt>
                <c:pt idx="34">
                  <c:v>Nov-25</c:v>
                </c:pt>
                <c:pt idx="35">
                  <c:v>Dec-25</c:v>
                </c:pt>
                <c:pt idx="36">
                  <c:v>Jan-26</c:v>
                </c:pt>
                <c:pt idx="37">
                  <c:v>Feb-26</c:v>
                </c:pt>
                <c:pt idx="38">
                  <c:v>Mar-26</c:v>
                </c:pt>
                <c:pt idx="39">
                  <c:v>Apr-26</c:v>
                </c:pt>
                <c:pt idx="40">
                  <c:v>May-26</c:v>
                </c:pt>
                <c:pt idx="41">
                  <c:v>Jun-26</c:v>
                </c:pt>
                <c:pt idx="42">
                  <c:v>Jul-26</c:v>
                </c:pt>
                <c:pt idx="43">
                  <c:v>Aug-26</c:v>
                </c:pt>
                <c:pt idx="44">
                  <c:v>Sep-26</c:v>
                </c:pt>
                <c:pt idx="45">
                  <c:v>Oct-26</c:v>
                </c:pt>
                <c:pt idx="46">
                  <c:v>Jan-27</c:v>
                </c:pt>
                <c:pt idx="47">
                  <c:v>Feb-27</c:v>
                </c:pt>
                <c:pt idx="48">
                  <c:v>Mar-27</c:v>
                </c:pt>
                <c:pt idx="49">
                  <c:v>Apr-27</c:v>
                </c:pt>
                <c:pt idx="50">
                  <c:v>May-27</c:v>
                </c:pt>
                <c:pt idx="51">
                  <c:v>Jun-27</c:v>
                </c:pt>
                <c:pt idx="52">
                  <c:v>Jul-27</c:v>
                </c:pt>
                <c:pt idx="53">
                  <c:v>Aug-27</c:v>
                </c:pt>
                <c:pt idx="54">
                  <c:v>Sep-27</c:v>
                </c:pt>
                <c:pt idx="55">
                  <c:v>Oct-27</c:v>
                </c:pt>
                <c:pt idx="56">
                  <c:v>Nov-27</c:v>
                </c:pt>
                <c:pt idx="57">
                  <c:v>Dec-27</c:v>
                </c:pt>
              </c:strCache>
            </c:strRef>
          </c:cat>
          <c:val>
            <c:numRef>
              <c:f>'Chart Data'!$B$2:$B$59</c:f>
              <c:numCache>
                <c:formatCode>0.00</c:formatCode>
                <c:ptCount val="58"/>
                <c:pt idx="0">
                  <c:v>23.23</c:v>
                </c:pt>
                <c:pt idx="1">
                  <c:v>22.47</c:v>
                </c:pt>
                <c:pt idx="2">
                  <c:v>20.63</c:v>
                </c:pt>
                <c:pt idx="3">
                  <c:v>21.19</c:v>
                </c:pt>
                <c:pt idx="4">
                  <c:v>20.84</c:v>
                </c:pt>
                <c:pt idx="5">
                  <c:v>20.65</c:v>
                </c:pt>
                <c:pt idx="6">
                  <c:v>19.42</c:v>
                </c:pt>
                <c:pt idx="7">
                  <c:v>19.48</c:v>
                </c:pt>
                <c:pt idx="8">
                  <c:v>18.33</c:v>
                </c:pt>
                <c:pt idx="9">
                  <c:v>17.4</c:v>
                </c:pt>
                <c:pt idx="10">
                  <c:v>16.37</c:v>
                </c:pt>
                <c:pt idx="11">
                  <c:v>16.82</c:v>
                </c:pt>
                <c:pt idx="12">
                  <c:v>17.55</c:v>
                </c:pt>
                <c:pt idx="13">
                  <c:v>17.35</c:v>
                </c:pt>
                <c:pt idx="14">
                  <c:v>17.76</c:v>
                </c:pt>
                <c:pt idx="15">
                  <c:v>18.91</c:v>
                </c:pt>
                <c:pt idx="16">
                  <c:v>20.67</c:v>
                </c:pt>
                <c:pt idx="17">
                  <c:v>23.05</c:v>
                </c:pt>
                <c:pt idx="18">
                  <c:v>20.28</c:v>
                </c:pt>
                <c:pt idx="19">
                  <c:v>20.02</c:v>
                </c:pt>
                <c:pt idx="20">
                  <c:v>20.26</c:v>
                </c:pt>
                <c:pt idx="21">
                  <c:v>20.84</c:v>
                </c:pt>
                <c:pt idx="22">
                  <c:v>20.6</c:v>
                </c:pt>
                <c:pt idx="23">
                  <c:v>20.36</c:v>
                </c:pt>
                <c:pt idx="24">
                  <c:v>21.37</c:v>
                </c:pt>
                <c:pt idx="25">
                  <c:v>22.78</c:v>
                </c:pt>
                <c:pt idx="26">
                  <c:v>22.99</c:v>
                </c:pt>
                <c:pt idx="27">
                  <c:v>22.21</c:v>
                </c:pt>
                <c:pt idx="28">
                  <c:v>22.69</c:v>
                </c:pt>
                <c:pt idx="29">
                  <c:v>24.16</c:v>
                </c:pt>
                <c:pt idx="30">
                  <c:v>24.19</c:v>
                </c:pt>
                <c:pt idx="31">
                  <c:v>29.56</c:v>
                </c:pt>
                <c:pt idx="32">
                  <c:v>35.51</c:v>
                </c:pt>
                <c:pt idx="33">
                  <c:v>37.04</c:v>
                </c:pt>
                <c:pt idx="34">
                  <c:v>41.72</c:v>
                </c:pt>
                <c:pt idx="35">
                  <c:v>37.61</c:v>
                </c:pt>
                <c:pt idx="36">
                  <c:v>38.79</c:v>
                </c:pt>
                <c:pt idx="37">
                  <c:v>41.55</c:v>
                </c:pt>
                <c:pt idx="38">
                  <c:v>42.76</c:v>
                </c:pt>
                <c:pt idx="39">
                  <c:v>42.1</c:v>
                </c:pt>
                <c:pt idx="40">
                  <c:v>45.77</c:v>
                </c:pt>
                <c:pt idx="41">
                  <c:v>47.05</c:v>
                </c:pt>
                <c:pt idx="42">
                  <c:v>44.03</c:v>
                </c:pt>
                <c:pt idx="43">
                  <c:v>44.42</c:v>
                </c:pt>
                <c:pt idx="44">
                  <c:v>48.23</c:v>
                </c:pt>
                <c:pt idx="45">
                  <c:v>46.79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'Chart Data'!C1</c:f>
              <c:strCache>
                <c:ptCount val="1"/>
                <c:pt idx="0">
                  <c:v>Base</c:v>
                </c:pt>
              </c:strCache>
            </c:strRef>
          </c:tx>
          <c:spPr>
            <a:solidFill>
              <a:srgbClr val="264653"/>
            </a:solidFill>
            <a:ln w="21960">
              <a:solidFill>
                <a:srgbClr val="264653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Data'!$A$2:$A$59</c:f>
              <c:strCache>
                <c:ptCount val="58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  <c:pt idx="18">
                  <c:v>Jul-24</c:v>
                </c:pt>
                <c:pt idx="19">
                  <c:v>Aug-24</c:v>
                </c:pt>
                <c:pt idx="20">
                  <c:v>Sep-24</c:v>
                </c:pt>
                <c:pt idx="21">
                  <c:v>Oct-24</c:v>
                </c:pt>
                <c:pt idx="22">
                  <c:v>Nov-24</c:v>
                </c:pt>
                <c:pt idx="23">
                  <c:v>Dec-24</c:v>
                </c:pt>
                <c:pt idx="24">
                  <c:v>Jan-25</c:v>
                </c:pt>
                <c:pt idx="25">
                  <c:v>Feb-25</c:v>
                </c:pt>
                <c:pt idx="26">
                  <c:v>Mar-25</c:v>
                </c:pt>
                <c:pt idx="27">
                  <c:v>Apr-25</c:v>
                </c:pt>
                <c:pt idx="28">
                  <c:v>May-25</c:v>
                </c:pt>
                <c:pt idx="29">
                  <c:v>Jun-25</c:v>
                </c:pt>
                <c:pt idx="30">
                  <c:v>Jul-25</c:v>
                </c:pt>
                <c:pt idx="31">
                  <c:v>Aug-25</c:v>
                </c:pt>
                <c:pt idx="32">
                  <c:v>Sep-25</c:v>
                </c:pt>
                <c:pt idx="33">
                  <c:v>Oct-25</c:v>
                </c:pt>
                <c:pt idx="34">
                  <c:v>Nov-25</c:v>
                </c:pt>
                <c:pt idx="35">
                  <c:v>Dec-25</c:v>
                </c:pt>
                <c:pt idx="36">
                  <c:v>Jan-26</c:v>
                </c:pt>
                <c:pt idx="37">
                  <c:v>Feb-26</c:v>
                </c:pt>
                <c:pt idx="38">
                  <c:v>Mar-26</c:v>
                </c:pt>
                <c:pt idx="39">
                  <c:v>Apr-26</c:v>
                </c:pt>
                <c:pt idx="40">
                  <c:v>May-26</c:v>
                </c:pt>
                <c:pt idx="41">
                  <c:v>Jun-26</c:v>
                </c:pt>
                <c:pt idx="42">
                  <c:v>Jul-26</c:v>
                </c:pt>
                <c:pt idx="43">
                  <c:v>Aug-26</c:v>
                </c:pt>
                <c:pt idx="44">
                  <c:v>Sep-26</c:v>
                </c:pt>
                <c:pt idx="45">
                  <c:v>Oct-26</c:v>
                </c:pt>
                <c:pt idx="46">
                  <c:v>Jan-27</c:v>
                </c:pt>
                <c:pt idx="47">
                  <c:v>Feb-27</c:v>
                </c:pt>
                <c:pt idx="48">
                  <c:v>Mar-27</c:v>
                </c:pt>
                <c:pt idx="49">
                  <c:v>Apr-27</c:v>
                </c:pt>
                <c:pt idx="50">
                  <c:v>May-27</c:v>
                </c:pt>
                <c:pt idx="51">
                  <c:v>Jun-27</c:v>
                </c:pt>
                <c:pt idx="52">
                  <c:v>Jul-27</c:v>
                </c:pt>
                <c:pt idx="53">
                  <c:v>Aug-27</c:v>
                </c:pt>
                <c:pt idx="54">
                  <c:v>Sep-27</c:v>
                </c:pt>
                <c:pt idx="55">
                  <c:v>Oct-27</c:v>
                </c:pt>
                <c:pt idx="56">
                  <c:v>Nov-27</c:v>
                </c:pt>
                <c:pt idx="57">
                  <c:v>Dec-27</c:v>
                </c:pt>
              </c:strCache>
            </c:strRef>
          </c:cat>
          <c:val>
            <c:numRef>
              <c:f>'Chart Data'!$C$2:$C$59</c:f>
              <c:numCache>
                <c:formatCode>0.00</c:formatCode>
                <c:ptCount val="58"/>
                <c:pt idx="45">
                  <c:v>46.79</c:v>
                </c:pt>
                <c:pt idx="46">
                  <c:v>47.292502160192</c:v>
                </c:pt>
                <c:pt idx="47">
                  <c:v>47.8004009525918</c:v>
                </c:pt>
                <c:pt idx="48">
                  <c:v>48.3137543344409</c:v>
                </c:pt>
                <c:pt idx="49">
                  <c:v>48.8326208854143</c:v>
                </c:pt>
                <c:pt idx="50">
                  <c:v>49.3570598143042</c:v>
                </c:pt>
                <c:pt idx="51">
                  <c:v>49.8871309657771</c:v>
                </c:pt>
                <c:pt idx="52">
                  <c:v>50.4228948272023</c:v>
                </c:pt>
                <c:pt idx="53">
                  <c:v>50.9644125355546</c:v>
                </c:pt>
                <c:pt idx="54">
                  <c:v>51.5117458843906</c:v>
                </c:pt>
                <c:pt idx="55">
                  <c:v>52.0649573308998</c:v>
                </c:pt>
                <c:pt idx="56">
                  <c:v>52.6241100030324</c:v>
                </c:pt>
                <c:pt idx="57">
                  <c:v>53.1892677067022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'Chart Data'!D1</c:f>
              <c:strCache>
                <c:ptCount val="1"/>
                <c:pt idx="0">
                  <c:v>Optimistic</c:v>
                </c:pt>
              </c:strCache>
            </c:strRef>
          </c:tx>
          <c:spPr>
            <a:solidFill>
              <a:srgbClr val="2a9d8f"/>
            </a:solidFill>
            <a:ln w="21960">
              <a:solidFill>
                <a:srgbClr val="2a9d8f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Data'!$A$2:$A$59</c:f>
              <c:strCache>
                <c:ptCount val="58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  <c:pt idx="18">
                  <c:v>Jul-24</c:v>
                </c:pt>
                <c:pt idx="19">
                  <c:v>Aug-24</c:v>
                </c:pt>
                <c:pt idx="20">
                  <c:v>Sep-24</c:v>
                </c:pt>
                <c:pt idx="21">
                  <c:v>Oct-24</c:v>
                </c:pt>
                <c:pt idx="22">
                  <c:v>Nov-24</c:v>
                </c:pt>
                <c:pt idx="23">
                  <c:v>Dec-24</c:v>
                </c:pt>
                <c:pt idx="24">
                  <c:v>Jan-25</c:v>
                </c:pt>
                <c:pt idx="25">
                  <c:v>Feb-25</c:v>
                </c:pt>
                <c:pt idx="26">
                  <c:v>Mar-25</c:v>
                </c:pt>
                <c:pt idx="27">
                  <c:v>Apr-25</c:v>
                </c:pt>
                <c:pt idx="28">
                  <c:v>May-25</c:v>
                </c:pt>
                <c:pt idx="29">
                  <c:v>Jun-25</c:v>
                </c:pt>
                <c:pt idx="30">
                  <c:v>Jul-25</c:v>
                </c:pt>
                <c:pt idx="31">
                  <c:v>Aug-25</c:v>
                </c:pt>
                <c:pt idx="32">
                  <c:v>Sep-25</c:v>
                </c:pt>
                <c:pt idx="33">
                  <c:v>Oct-25</c:v>
                </c:pt>
                <c:pt idx="34">
                  <c:v>Nov-25</c:v>
                </c:pt>
                <c:pt idx="35">
                  <c:v>Dec-25</c:v>
                </c:pt>
                <c:pt idx="36">
                  <c:v>Jan-26</c:v>
                </c:pt>
                <c:pt idx="37">
                  <c:v>Feb-26</c:v>
                </c:pt>
                <c:pt idx="38">
                  <c:v>Mar-26</c:v>
                </c:pt>
                <c:pt idx="39">
                  <c:v>Apr-26</c:v>
                </c:pt>
                <c:pt idx="40">
                  <c:v>May-26</c:v>
                </c:pt>
                <c:pt idx="41">
                  <c:v>Jun-26</c:v>
                </c:pt>
                <c:pt idx="42">
                  <c:v>Jul-26</c:v>
                </c:pt>
                <c:pt idx="43">
                  <c:v>Aug-26</c:v>
                </c:pt>
                <c:pt idx="44">
                  <c:v>Sep-26</c:v>
                </c:pt>
                <c:pt idx="45">
                  <c:v>Oct-26</c:v>
                </c:pt>
                <c:pt idx="46">
                  <c:v>Jan-27</c:v>
                </c:pt>
                <c:pt idx="47">
                  <c:v>Feb-27</c:v>
                </c:pt>
                <c:pt idx="48">
                  <c:v>Mar-27</c:v>
                </c:pt>
                <c:pt idx="49">
                  <c:v>Apr-27</c:v>
                </c:pt>
                <c:pt idx="50">
                  <c:v>May-27</c:v>
                </c:pt>
                <c:pt idx="51">
                  <c:v>Jun-27</c:v>
                </c:pt>
                <c:pt idx="52">
                  <c:v>Jul-27</c:v>
                </c:pt>
                <c:pt idx="53">
                  <c:v>Aug-27</c:v>
                </c:pt>
                <c:pt idx="54">
                  <c:v>Sep-27</c:v>
                </c:pt>
                <c:pt idx="55">
                  <c:v>Oct-27</c:v>
                </c:pt>
                <c:pt idx="56">
                  <c:v>Nov-27</c:v>
                </c:pt>
                <c:pt idx="57">
                  <c:v>Dec-27</c:v>
                </c:pt>
              </c:strCache>
            </c:strRef>
          </c:cat>
          <c:val>
            <c:numRef>
              <c:f>'Chart Data'!$D$2:$D$59</c:f>
              <c:numCache>
                <c:formatCode>0.00</c:formatCode>
                <c:ptCount val="58"/>
                <c:pt idx="45">
                  <c:v>46.79</c:v>
                </c:pt>
                <c:pt idx="46">
                  <c:v>47.7950043203841</c:v>
                </c:pt>
                <c:pt idx="47">
                  <c:v>48.8215951695989</c:v>
                </c:pt>
                <c:pt idx="48">
                  <c:v>50.0010407191421</c:v>
                </c:pt>
                <c:pt idx="49">
                  <c:v>51.0750151142359</c:v>
                </c:pt>
                <c:pt idx="50">
                  <c:v>52.1720574492111</c:v>
                </c:pt>
                <c:pt idx="51">
                  <c:v>53.4324443897694</c:v>
                </c:pt>
                <c:pt idx="52">
                  <c:v>54.580122044405</c:v>
                </c:pt>
                <c:pt idx="53">
                  <c:v>55.752450714243</c:v>
                </c:pt>
                <c:pt idx="54">
                  <c:v>57.0993337819226</c:v>
                </c:pt>
                <c:pt idx="55">
                  <c:v>58.3257727035273</c:v>
                </c:pt>
                <c:pt idx="56">
                  <c:v>59.5785543568033</c:v>
                </c:pt>
                <c:pt idx="57">
                  <c:v>60.8582445583597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'Chart Data'!E1</c:f>
              <c:strCache>
                <c:ptCount val="1"/>
                <c:pt idx="0">
                  <c:v>Pessimistic</c:v>
                </c:pt>
              </c:strCache>
            </c:strRef>
          </c:tx>
          <c:spPr>
            <a:solidFill>
              <a:srgbClr val="e76f51"/>
            </a:solidFill>
            <a:ln w="21960">
              <a:solidFill>
                <a:srgbClr val="e76f51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Data'!$A$2:$A$59</c:f>
              <c:strCache>
                <c:ptCount val="58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  <c:pt idx="3">
                  <c:v>Apr-23</c:v>
                </c:pt>
                <c:pt idx="4">
                  <c:v>May-23</c:v>
                </c:pt>
                <c:pt idx="5">
                  <c:v>Jun-23</c:v>
                </c:pt>
                <c:pt idx="6">
                  <c:v>Jul-23</c:v>
                </c:pt>
                <c:pt idx="7">
                  <c:v>Aug-23</c:v>
                </c:pt>
                <c:pt idx="8">
                  <c:v>Sep-23</c:v>
                </c:pt>
                <c:pt idx="9">
                  <c:v>Oct-23</c:v>
                </c:pt>
                <c:pt idx="10">
                  <c:v>Nov-23</c:v>
                </c:pt>
                <c:pt idx="11">
                  <c:v>Dec-23</c:v>
                </c:pt>
                <c:pt idx="12">
                  <c:v>Jan-24</c:v>
                </c:pt>
                <c:pt idx="13">
                  <c:v>Feb-24</c:v>
                </c:pt>
                <c:pt idx="14">
                  <c:v>Mar-24</c:v>
                </c:pt>
                <c:pt idx="15">
                  <c:v>Apr-24</c:v>
                </c:pt>
                <c:pt idx="16">
                  <c:v>May-24</c:v>
                </c:pt>
                <c:pt idx="17">
                  <c:v>Jun-24</c:v>
                </c:pt>
                <c:pt idx="18">
                  <c:v>Jul-24</c:v>
                </c:pt>
                <c:pt idx="19">
                  <c:v>Aug-24</c:v>
                </c:pt>
                <c:pt idx="20">
                  <c:v>Sep-24</c:v>
                </c:pt>
                <c:pt idx="21">
                  <c:v>Oct-24</c:v>
                </c:pt>
                <c:pt idx="22">
                  <c:v>Nov-24</c:v>
                </c:pt>
                <c:pt idx="23">
                  <c:v>Dec-24</c:v>
                </c:pt>
                <c:pt idx="24">
                  <c:v>Jan-25</c:v>
                </c:pt>
                <c:pt idx="25">
                  <c:v>Feb-25</c:v>
                </c:pt>
                <c:pt idx="26">
                  <c:v>Mar-25</c:v>
                </c:pt>
                <c:pt idx="27">
                  <c:v>Apr-25</c:v>
                </c:pt>
                <c:pt idx="28">
                  <c:v>May-25</c:v>
                </c:pt>
                <c:pt idx="29">
                  <c:v>Jun-25</c:v>
                </c:pt>
                <c:pt idx="30">
                  <c:v>Jul-25</c:v>
                </c:pt>
                <c:pt idx="31">
                  <c:v>Aug-25</c:v>
                </c:pt>
                <c:pt idx="32">
                  <c:v>Sep-25</c:v>
                </c:pt>
                <c:pt idx="33">
                  <c:v>Oct-25</c:v>
                </c:pt>
                <c:pt idx="34">
                  <c:v>Nov-25</c:v>
                </c:pt>
                <c:pt idx="35">
                  <c:v>Dec-25</c:v>
                </c:pt>
                <c:pt idx="36">
                  <c:v>Jan-26</c:v>
                </c:pt>
                <c:pt idx="37">
                  <c:v>Feb-26</c:v>
                </c:pt>
                <c:pt idx="38">
                  <c:v>Mar-26</c:v>
                </c:pt>
                <c:pt idx="39">
                  <c:v>Apr-26</c:v>
                </c:pt>
                <c:pt idx="40">
                  <c:v>May-26</c:v>
                </c:pt>
                <c:pt idx="41">
                  <c:v>Jun-26</c:v>
                </c:pt>
                <c:pt idx="42">
                  <c:v>Jul-26</c:v>
                </c:pt>
                <c:pt idx="43">
                  <c:v>Aug-26</c:v>
                </c:pt>
                <c:pt idx="44">
                  <c:v>Sep-26</c:v>
                </c:pt>
                <c:pt idx="45">
                  <c:v>Oct-26</c:v>
                </c:pt>
                <c:pt idx="46">
                  <c:v>Jan-27</c:v>
                </c:pt>
                <c:pt idx="47">
                  <c:v>Feb-27</c:v>
                </c:pt>
                <c:pt idx="48">
                  <c:v>Mar-27</c:v>
                </c:pt>
                <c:pt idx="49">
                  <c:v>Apr-27</c:v>
                </c:pt>
                <c:pt idx="50">
                  <c:v>May-27</c:v>
                </c:pt>
                <c:pt idx="51">
                  <c:v>Jun-27</c:v>
                </c:pt>
                <c:pt idx="52">
                  <c:v>Jul-27</c:v>
                </c:pt>
                <c:pt idx="53">
                  <c:v>Aug-27</c:v>
                </c:pt>
                <c:pt idx="54">
                  <c:v>Sep-27</c:v>
                </c:pt>
                <c:pt idx="55">
                  <c:v>Oct-27</c:v>
                </c:pt>
                <c:pt idx="56">
                  <c:v>Nov-27</c:v>
                </c:pt>
                <c:pt idx="57">
                  <c:v>Dec-27</c:v>
                </c:pt>
              </c:strCache>
            </c:strRef>
          </c:cat>
          <c:val>
            <c:numRef>
              <c:f>'Chart Data'!$E$2:$E$59</c:f>
              <c:numCache>
                <c:formatCode>0.00</c:formatCode>
                <c:ptCount val="58"/>
                <c:pt idx="45">
                  <c:v>46.79</c:v>
                </c:pt>
                <c:pt idx="46">
                  <c:v>46.6455182950923</c:v>
                </c:pt>
                <c:pt idx="47">
                  <c:v>46.3765084389163</c:v>
                </c:pt>
                <c:pt idx="48">
                  <c:v>46.2333035445602</c:v>
                </c:pt>
                <c:pt idx="49">
                  <c:v>46.0905408491203</c:v>
                </c:pt>
                <c:pt idx="50">
                  <c:v>45.8247316091745</c:v>
                </c:pt>
                <c:pt idx="51">
                  <c:v>45.6832305330935</c:v>
                </c:pt>
                <c:pt idx="52">
                  <c:v>45.5421663947495</c:v>
                </c:pt>
                <c:pt idx="53">
                  <c:v>45.4015378449333</c:v>
                </c:pt>
                <c:pt idx="54">
                  <c:v>45.2613435386014</c:v>
                </c:pt>
                <c:pt idx="55">
                  <c:v>45.1215821348641</c:v>
                </c:pt>
                <c:pt idx="56">
                  <c:v>44.9822522969719</c:v>
                </c:pt>
                <c:pt idx="57">
                  <c:v>44.843352692303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2774527"/>
        <c:axId val="8206786"/>
      </c:lineChart>
      <c:catAx>
        <c:axId val="22774527"/>
        <c:scaling>
          <c:orientation val="minMax"/>
        </c:scaling>
        <c:delete val="0"/>
        <c:axPos val="b"/>
        <c:numFmt formatCode="mmm\-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06786"/>
        <c:crosses val="autoZero"/>
        <c:auto val="1"/>
        <c:lblAlgn val="ctr"/>
        <c:lblOffset val="100"/>
        <c:noMultiLvlLbl val="0"/>
      </c:catAx>
      <c:valAx>
        <c:axId val="820678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7745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14</xdr:col>
      <xdr:colOff>78480</xdr:colOff>
      <xdr:row>18</xdr:row>
      <xdr:rowOff>170640</xdr:rowOff>
    </xdr:to>
    <xdr:graphicFrame>
      <xdr:nvGraphicFramePr>
        <xdr:cNvPr id="0" name="Chart 1"/>
        <xdr:cNvGraphicFramePr/>
      </xdr:nvGraphicFramePr>
      <xdr:xfrm>
        <a:off x="0" y="0"/>
        <a:ext cx="86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1" t="s">
        <v>0</v>
      </c>
    </row>
    <row r="3" customFormat="false" ht="45" hidden="false" customHeight="true" outlineLevel="0" collapsed="false">
      <c r="A3" s="2" t="s">
        <v>1</v>
      </c>
      <c r="B3" s="3" t="s">
        <v>2</v>
      </c>
    </row>
    <row r="4" customFormat="false" ht="45" hidden="false" customHeight="true" outlineLevel="0" collapsed="false">
      <c r="A4" s="2" t="s">
        <v>3</v>
      </c>
      <c r="B4" s="3" t="s">
        <v>4</v>
      </c>
    </row>
    <row r="5" customFormat="false" ht="45" hidden="false" customHeight="true" outlineLevel="0" collapsed="false">
      <c r="A5" s="2" t="s">
        <v>5</v>
      </c>
      <c r="B5" s="3" t="s">
        <v>6</v>
      </c>
    </row>
    <row r="6" customFormat="false" ht="45" hidden="false" customHeight="true" outlineLevel="0" collapsed="false">
      <c r="A6" s="2" t="s">
        <v>7</v>
      </c>
      <c r="B6" s="3" t="s">
        <v>8</v>
      </c>
    </row>
    <row r="7" customFormat="false" ht="45" hidden="false" customHeight="true" outlineLevel="0" collapsed="false">
      <c r="A7" s="2" t="s">
        <v>9</v>
      </c>
      <c r="B7" s="3" t="s">
        <v>10</v>
      </c>
    </row>
    <row r="8" customFormat="false" ht="45" hidden="false" customHeight="true" outlineLevel="0" collapsed="false">
      <c r="A8" s="2" t="s">
        <v>11</v>
      </c>
      <c r="B8" s="3" t="s">
        <v>12</v>
      </c>
    </row>
    <row r="9" customFormat="false" ht="45" hidden="false" customHeight="true" outlineLevel="0" collapsed="false">
      <c r="A9" s="2" t="s">
        <v>13</v>
      </c>
      <c r="B9" s="3" t="s">
        <v>14</v>
      </c>
    </row>
    <row r="10" customFormat="false" ht="45" hidden="false" customHeight="true" outlineLevel="0" collapsed="false">
      <c r="A10" s="2" t="s">
        <v>15</v>
      </c>
      <c r="B1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6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0" min="10" style="0" width="14"/>
  </cols>
  <sheetData>
    <row r="1" customFormat="false" ht="42" hidden="false" customHeight="true" outlineLevel="0" collapsed="false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L1" s="5" t="s">
        <v>27</v>
      </c>
    </row>
    <row r="2" customFormat="false" ht="15" hidden="false" customHeight="false" outlineLevel="0" collapsed="false">
      <c r="A2" s="6" t="n">
        <v>44927</v>
      </c>
      <c r="B2" s="7" t="n">
        <v>23.23</v>
      </c>
      <c r="C2" s="8" t="n">
        <v>10.416</v>
      </c>
      <c r="D2" s="8"/>
      <c r="E2" s="9" t="n">
        <v>0.0875</v>
      </c>
      <c r="F2" s="10"/>
      <c r="G2" s="10"/>
      <c r="H2" s="10"/>
      <c r="I2" s="10"/>
      <c r="J2" s="11"/>
    </row>
    <row r="3" customFormat="false" ht="15" hidden="false" customHeight="false" outlineLevel="0" collapsed="false">
      <c r="A3" s="6" t="n">
        <v>44958</v>
      </c>
      <c r="B3" s="7" t="n">
        <v>22.47</v>
      </c>
      <c r="C3" s="8" t="n">
        <v>10.6175</v>
      </c>
      <c r="D3" s="8"/>
      <c r="E3" s="9" t="n">
        <v>0.0875</v>
      </c>
      <c r="F3" s="12" t="n">
        <f aca="false">(B3/B2-1)*100</f>
        <v>-3.27163151097719</v>
      </c>
      <c r="G3" s="12" t="n">
        <f aca="false">(E3-E2)*100</f>
        <v>0</v>
      </c>
      <c r="H3" s="12" t="str">
        <f aca="false">IF(AND(ISNUMBER(D3),ISNUMBER(D2)),(D3/D2-1)*100,"")</f>
        <v/>
      </c>
      <c r="I3" s="13" t="n">
        <f aca="false">LN(B3/B2)</f>
        <v>-0.03326346058508</v>
      </c>
      <c r="J3" s="11"/>
    </row>
    <row r="4" customFormat="false" ht="15" hidden="false" customHeight="false" outlineLevel="0" collapsed="false">
      <c r="A4" s="6" t="n">
        <v>44986</v>
      </c>
      <c r="B4" s="7" t="n">
        <v>20.63</v>
      </c>
      <c r="C4" s="8" t="n">
        <v>10.75</v>
      </c>
      <c r="D4" s="8"/>
      <c r="E4" s="9" t="n">
        <v>0.0875</v>
      </c>
      <c r="F4" s="12" t="n">
        <f aca="false">(B4/B3-1)*100</f>
        <v>-8.18869603916332</v>
      </c>
      <c r="G4" s="12" t="n">
        <f aca="false">(E4-E3)*100</f>
        <v>0</v>
      </c>
      <c r="H4" s="12" t="str">
        <f aca="false">IF(AND(ISNUMBER(D4),ISNUMBER(D3)),(D4/D3-1)*100,"")</f>
        <v/>
      </c>
      <c r="I4" s="13" t="n">
        <f aca="false">LN(B4/B3)</f>
        <v>-0.0854347591140773</v>
      </c>
      <c r="J4" s="11"/>
    </row>
    <row r="5" customFormat="false" ht="15" hidden="false" customHeight="false" outlineLevel="0" collapsed="false">
      <c r="A5" s="6" t="n">
        <v>45017</v>
      </c>
      <c r="B5" s="7" t="n">
        <v>21.19</v>
      </c>
      <c r="C5" s="8" t="n">
        <v>10.9125</v>
      </c>
      <c r="D5" s="8"/>
      <c r="E5" s="9" t="n">
        <v>0.095</v>
      </c>
      <c r="F5" s="12" t="n">
        <f aca="false">(B5/B4-1)*100</f>
        <v>2.71449345613186</v>
      </c>
      <c r="G5" s="12" t="n">
        <f aca="false">(E5-E4)*100</f>
        <v>0.750000000000001</v>
      </c>
      <c r="H5" s="12" t="str">
        <f aca="false">IF(AND(ISNUMBER(D5),ISNUMBER(D4)),(D5/D4-1)*100,"")</f>
        <v/>
      </c>
      <c r="I5" s="13" t="n">
        <f aca="false">LN(B5/B4)</f>
        <v>0.0267830451970474</v>
      </c>
      <c r="J5" s="11"/>
    </row>
    <row r="6" customFormat="false" ht="15" hidden="false" customHeight="false" outlineLevel="0" collapsed="false">
      <c r="A6" s="6" t="n">
        <v>45047</v>
      </c>
      <c r="B6" s="7" t="n">
        <v>20.84</v>
      </c>
      <c r="C6" s="8" t="n">
        <v>11.282</v>
      </c>
      <c r="D6" s="8" t="n">
        <v>138.3971</v>
      </c>
      <c r="E6" s="9" t="n">
        <v>0.095</v>
      </c>
      <c r="F6" s="12" t="n">
        <f aca="false">(B6/B5-1)*100</f>
        <v>-1.65172251061823</v>
      </c>
      <c r="G6" s="12" t="n">
        <f aca="false">(E6-E5)*100</f>
        <v>0</v>
      </c>
      <c r="H6" s="12" t="str">
        <f aca="false">IF(AND(ISNUMBER(D6),ISNUMBER(D5)),(D6/D5-1)*100,"")</f>
        <v/>
      </c>
      <c r="I6" s="13" t="n">
        <f aca="false">LN(B6/B5)</f>
        <v>-0.0166551553950416</v>
      </c>
      <c r="J6" s="11"/>
    </row>
    <row r="7" customFormat="false" ht="15" hidden="false" customHeight="false" outlineLevel="0" collapsed="false">
      <c r="A7" s="6" t="n">
        <v>45078</v>
      </c>
      <c r="B7" s="7" t="n">
        <v>20.65</v>
      </c>
      <c r="C7" s="8" t="n">
        <v>11.6925</v>
      </c>
      <c r="D7" s="8" t="n">
        <v>139.7493</v>
      </c>
      <c r="E7" s="9" t="n">
        <v>0.095</v>
      </c>
      <c r="F7" s="12" t="n">
        <f aca="false">(B7/B6-1)*100</f>
        <v>-0.911708253358934</v>
      </c>
      <c r="G7" s="12" t="n">
        <f aca="false">(E7-E6)*100</f>
        <v>0</v>
      </c>
      <c r="H7" s="12" t="n">
        <f aca="false">IF(AND(ISNUMBER(D7),ISNUMBER(D6)),(D7/D6-1)*100,"")</f>
        <v>0.977043594121563</v>
      </c>
      <c r="I7" s="13" t="n">
        <f aca="false">LN(B7/B6)</f>
        <v>-0.00915889747812449</v>
      </c>
      <c r="J7" s="11"/>
    </row>
    <row r="8" customFormat="false" ht="15" hidden="false" customHeight="false" outlineLevel="0" collapsed="false">
      <c r="A8" s="6" t="n">
        <v>45108</v>
      </c>
      <c r="B8" s="7" t="n">
        <v>19.42</v>
      </c>
      <c r="C8" s="8" t="n">
        <v>12.464</v>
      </c>
      <c r="D8" s="8" t="n">
        <v>141.5124</v>
      </c>
      <c r="E8" s="9" t="n">
        <v>0.105</v>
      </c>
      <c r="F8" s="12" t="n">
        <f aca="false">(B8/B7-1)*100</f>
        <v>-5.95641646489102</v>
      </c>
      <c r="G8" s="12" t="n">
        <f aca="false">(E8-E7)*100</f>
        <v>1</v>
      </c>
      <c r="H8" s="12" t="n">
        <f aca="false">IF(AND(ISNUMBER(D8),ISNUMBER(D7)),(D8/D7-1)*100,"")</f>
        <v>1.26161633725537</v>
      </c>
      <c r="I8" s="13" t="n">
        <f aca="false">LN(B8/B7)</f>
        <v>-0.0614118565438627</v>
      </c>
      <c r="J8" s="11"/>
    </row>
    <row r="9" customFormat="false" ht="15" hidden="false" customHeight="false" outlineLevel="0" collapsed="false">
      <c r="A9" s="6" t="n">
        <v>45139</v>
      </c>
      <c r="B9" s="7" t="n">
        <v>19.48</v>
      </c>
      <c r="C9" s="8" t="n">
        <v>13.5525</v>
      </c>
      <c r="D9" s="8" t="n">
        <v>144.0414</v>
      </c>
      <c r="E9" s="9" t="n">
        <v>0.105</v>
      </c>
      <c r="F9" s="12" t="n">
        <f aca="false">(B9/B8-1)*100</f>
        <v>0.308959835221412</v>
      </c>
      <c r="G9" s="12" t="n">
        <f aca="false">(E9-E8)*100</f>
        <v>0</v>
      </c>
      <c r="H9" s="12" t="n">
        <f aca="false">IF(AND(ISNUMBER(D9),ISNUMBER(D8)),(D9/D8-1)*100,"")</f>
        <v>1.78712254191151</v>
      </c>
      <c r="I9" s="13" t="n">
        <f aca="false">LN(B9/B8)</f>
        <v>0.0030848353512101</v>
      </c>
      <c r="J9" s="11"/>
    </row>
    <row r="10" customFormat="false" ht="15" hidden="false" customHeight="false" outlineLevel="0" collapsed="false">
      <c r="A10" s="6" t="n">
        <v>45170</v>
      </c>
      <c r="B10" s="7" t="n">
        <v>18.33</v>
      </c>
      <c r="C10" s="8" t="n">
        <v>14.6425</v>
      </c>
      <c r="D10" s="8" t="n">
        <v>146.8216</v>
      </c>
      <c r="E10" s="9" t="n">
        <v>0.105</v>
      </c>
      <c r="F10" s="12" t="n">
        <f aca="false">(B10/B9-1)*100</f>
        <v>-5.90349075975361</v>
      </c>
      <c r="G10" s="12" t="n">
        <f aca="false">(E10-E9)*100</f>
        <v>0</v>
      </c>
      <c r="H10" s="12" t="n">
        <f aca="false">IF(AND(ISNUMBER(D10),ISNUMBER(D9)),(D10/D9-1)*100,"")</f>
        <v>1.93013952932974</v>
      </c>
      <c r="I10" s="13" t="n">
        <f aca="false">LN(B10/B9)</f>
        <v>-0.0608492363627755</v>
      </c>
      <c r="J10" s="11"/>
    </row>
    <row r="11" customFormat="false" ht="15" hidden="false" customHeight="false" outlineLevel="0" collapsed="false">
      <c r="A11" s="6" t="n">
        <v>45200</v>
      </c>
      <c r="B11" s="7" t="n">
        <v>17.4</v>
      </c>
      <c r="C11" s="8" t="n">
        <v>15.262</v>
      </c>
      <c r="D11" s="8" t="n">
        <v>149.4429</v>
      </c>
      <c r="E11" s="9" t="n">
        <v>0.105</v>
      </c>
      <c r="F11" s="12" t="n">
        <f aca="false">(B11/B10-1)*100</f>
        <v>-5.07364975450082</v>
      </c>
      <c r="G11" s="12" t="n">
        <f aca="false">(E11-E10)*100</f>
        <v>0</v>
      </c>
      <c r="H11" s="12" t="n">
        <f aca="false">IF(AND(ISNUMBER(D11),ISNUMBER(D10)),(D11/D10-1)*100,"")</f>
        <v>1.785364006386</v>
      </c>
      <c r="I11" s="13" t="n">
        <f aca="false">LN(B11/B10)</f>
        <v>-0.0520688556311303</v>
      </c>
      <c r="J11" s="11"/>
    </row>
    <row r="12" customFormat="false" ht="15" hidden="false" customHeight="false" outlineLevel="0" collapsed="false">
      <c r="A12" s="6" t="n">
        <v>45231</v>
      </c>
      <c r="B12" s="7" t="n">
        <v>16.37</v>
      </c>
      <c r="C12" s="8" t="n">
        <v>15.57</v>
      </c>
      <c r="D12" s="8" t="n">
        <v>152.1154</v>
      </c>
      <c r="E12" s="9" t="n">
        <v>0.105</v>
      </c>
      <c r="F12" s="12" t="n">
        <f aca="false">(B12/B11-1)*100</f>
        <v>-5.91954022988505</v>
      </c>
      <c r="G12" s="12" t="n">
        <f aca="false">(E12-E11)*100</f>
        <v>0</v>
      </c>
      <c r="H12" s="12" t="n">
        <f aca="false">IF(AND(ISNUMBER(D12),ISNUMBER(D11)),(D12/D11-1)*100,"")</f>
        <v>1.78830844422853</v>
      </c>
      <c r="I12" s="13" t="n">
        <f aca="false">LN(B12/B11)</f>
        <v>-0.0610198148374397</v>
      </c>
      <c r="J12" s="11"/>
    </row>
    <row r="13" customFormat="false" ht="15" hidden="false" customHeight="false" outlineLevel="0" collapsed="false">
      <c r="A13" s="6" t="n">
        <v>45261</v>
      </c>
      <c r="B13" s="7" t="n">
        <v>16.82</v>
      </c>
      <c r="C13" s="8" t="n">
        <v>15.8125</v>
      </c>
      <c r="D13" s="8" t="n">
        <v>154.1563</v>
      </c>
      <c r="E13" s="9" t="n">
        <v>0.125</v>
      </c>
      <c r="F13" s="12" t="n">
        <f aca="false">(B13/B12-1)*100</f>
        <v>2.74893097128894</v>
      </c>
      <c r="G13" s="12" t="n">
        <f aca="false">(E13-E12)*100</f>
        <v>2</v>
      </c>
      <c r="H13" s="12" t="n">
        <f aca="false">IF(AND(ISNUMBER(D13),ISNUMBER(D12)),(D13/D12-1)*100,"")</f>
        <v>1.34167875178977</v>
      </c>
      <c r="I13" s="13" t="n">
        <f aca="false">LN(B13/B12)</f>
        <v>0.0271182631617585</v>
      </c>
      <c r="J13" s="11"/>
    </row>
    <row r="14" customFormat="false" ht="15" hidden="false" customHeight="false" outlineLevel="0" collapsed="false">
      <c r="A14" s="6" t="n">
        <v>45292</v>
      </c>
      <c r="B14" s="7" t="n">
        <v>17.55</v>
      </c>
      <c r="C14" s="8" t="n">
        <v>16.356</v>
      </c>
      <c r="D14" s="8" t="n">
        <v>159.7283</v>
      </c>
      <c r="E14" s="9" t="n">
        <v>0.125</v>
      </c>
      <c r="F14" s="12" t="n">
        <f aca="false">(B14/B13-1)*100</f>
        <v>4.34007134363852</v>
      </c>
      <c r="G14" s="12" t="n">
        <f aca="false">(E14-E13)*100</f>
        <v>0</v>
      </c>
      <c r="H14" s="12" t="n">
        <f aca="false">IF(AND(ISNUMBER(D14),ISNUMBER(D13)),(D14/D13-1)*100,"")</f>
        <v>3.61451332186877</v>
      </c>
      <c r="I14" s="13" t="n">
        <f aca="false">LN(B14/B13)</f>
        <v>0.0424852953670728</v>
      </c>
      <c r="J14" s="11"/>
    </row>
    <row r="15" customFormat="false" ht="15" hidden="false" customHeight="false" outlineLevel="0" collapsed="false">
      <c r="A15" s="6" t="n">
        <v>45323</v>
      </c>
      <c r="B15" s="7" t="n">
        <v>17.35</v>
      </c>
      <c r="C15" s="8" t="n">
        <v>16.845</v>
      </c>
      <c r="D15" s="8" t="n">
        <v>151.2907</v>
      </c>
      <c r="E15" s="9" t="n">
        <v>0.13</v>
      </c>
      <c r="F15" s="12" t="n">
        <f aca="false">(B15/B14-1)*100</f>
        <v>-1.13960113960113</v>
      </c>
      <c r="G15" s="12" t="n">
        <f aca="false">(E15-E14)*100</f>
        <v>0.5</v>
      </c>
      <c r="H15" s="12" t="n">
        <f aca="false">IF(AND(ISNUMBER(D15),ISNUMBER(D14)),(D15/D14-1)*100,"")</f>
        <v>-5.28247029486948</v>
      </c>
      <c r="I15" s="13" t="n">
        <f aca="false">LN(B15/B14)</f>
        <v>-0.0114614435190065</v>
      </c>
      <c r="J15" s="11"/>
    </row>
    <row r="16" customFormat="false" ht="15" hidden="false" customHeight="false" outlineLevel="0" collapsed="false">
      <c r="A16" s="6" t="n">
        <v>45352</v>
      </c>
      <c r="B16" s="7" t="n">
        <v>17.76</v>
      </c>
      <c r="C16" s="8" t="n">
        <v>16.9825</v>
      </c>
      <c r="D16" s="8" t="n">
        <v>137.0702</v>
      </c>
      <c r="E16" s="9" t="n">
        <v>0.13</v>
      </c>
      <c r="F16" s="12" t="n">
        <f aca="false">(B16/B15-1)*100</f>
        <v>2.36311239193083</v>
      </c>
      <c r="G16" s="12" t="n">
        <f aca="false">(E16-E15)*100</f>
        <v>0</v>
      </c>
      <c r="H16" s="12" t="n">
        <f aca="false">IF(AND(ISNUMBER(D16),ISNUMBER(D15)),(D16/D15-1)*100,"")</f>
        <v>-9.39945416340858</v>
      </c>
      <c r="I16" s="13" t="n">
        <f aca="false">LN(B16/B15)</f>
        <v>0.0233562311711558</v>
      </c>
      <c r="J16" s="11"/>
    </row>
    <row r="17" customFormat="false" ht="15" hidden="false" customHeight="false" outlineLevel="0" collapsed="false">
      <c r="A17" s="6" t="n">
        <v>45383</v>
      </c>
      <c r="B17" s="7" t="n">
        <v>18.91</v>
      </c>
      <c r="C17" s="8" t="n">
        <v>16.702</v>
      </c>
      <c r="D17" s="8" t="n">
        <v>131.5728</v>
      </c>
      <c r="E17" s="9" t="n">
        <v>0.13</v>
      </c>
      <c r="F17" s="12" t="n">
        <f aca="false">(B17/B16-1)*100</f>
        <v>6.47522522522521</v>
      </c>
      <c r="G17" s="12" t="n">
        <f aca="false">(E17-E16)*100</f>
        <v>0</v>
      </c>
      <c r="H17" s="12" t="n">
        <f aca="false">IF(AND(ISNUMBER(D17),ISNUMBER(D16)),(D17/D16-1)*100,"")</f>
        <v>-4.01064563997134</v>
      </c>
      <c r="I17" s="13" t="n">
        <f aca="false">LN(B17/B16)</f>
        <v>0.062742145106342</v>
      </c>
      <c r="J17" s="11"/>
    </row>
    <row r="18" customFormat="false" ht="15" hidden="false" customHeight="false" outlineLevel="0" collapsed="false">
      <c r="A18" s="6" t="n">
        <v>45413</v>
      </c>
      <c r="B18" s="7" t="n">
        <v>20.67</v>
      </c>
      <c r="C18" s="8" t="n">
        <v>16.54</v>
      </c>
      <c r="D18" s="8" t="n">
        <v>131.6356</v>
      </c>
      <c r="E18" s="9" t="n">
        <v>0.13</v>
      </c>
      <c r="F18" s="12" t="n">
        <f aca="false">(B18/B17-1)*100</f>
        <v>9.3072448439979</v>
      </c>
      <c r="G18" s="12" t="n">
        <f aca="false">(E18-E17)*100</f>
        <v>0</v>
      </c>
      <c r="H18" s="12" t="n">
        <f aca="false">IF(AND(ISNUMBER(D18),ISNUMBER(D17)),(D18/D17-1)*100,"")</f>
        <v>0.0477302299563442</v>
      </c>
      <c r="I18" s="13" t="n">
        <f aca="false">LN(B18/B17)</f>
        <v>0.0889924910233109</v>
      </c>
      <c r="J18" s="11"/>
    </row>
    <row r="19" customFormat="false" ht="15" hidden="false" customHeight="false" outlineLevel="0" collapsed="false">
      <c r="A19" s="6" t="n">
        <v>45444</v>
      </c>
      <c r="B19" s="7" t="n">
        <v>23.05</v>
      </c>
      <c r="C19" s="8" t="n">
        <v>16.735</v>
      </c>
      <c r="D19" s="8" t="n">
        <v>129.3439</v>
      </c>
      <c r="E19" s="9" t="n">
        <v>0.13</v>
      </c>
      <c r="F19" s="12" t="n">
        <f aca="false">(B19/B18-1)*100</f>
        <v>11.5142718916304</v>
      </c>
      <c r="G19" s="12" t="n">
        <f aca="false">(E19-E18)*100</f>
        <v>0</v>
      </c>
      <c r="H19" s="12" t="n">
        <f aca="false">IF(AND(ISNUMBER(D19),ISNUMBER(D18)),(D19/D18-1)*100,"")</f>
        <v>-1.74094241983174</v>
      </c>
      <c r="I19" s="13" t="n">
        <f aca="false">LN(B19/B18)</f>
        <v>0.108982395748981</v>
      </c>
      <c r="J19" s="11"/>
    </row>
    <row r="20" customFormat="false" ht="15" hidden="false" customHeight="false" outlineLevel="0" collapsed="false">
      <c r="A20" s="6" t="n">
        <v>45474</v>
      </c>
      <c r="B20" s="7" t="n">
        <v>20.28</v>
      </c>
      <c r="C20" s="8" t="n">
        <v>16.864</v>
      </c>
      <c r="D20" s="8" t="n">
        <v>129.9046</v>
      </c>
      <c r="E20" s="9" t="n">
        <v>0.13</v>
      </c>
      <c r="F20" s="12" t="n">
        <f aca="false">(B20/B19-1)*100</f>
        <v>-12.0173535791757</v>
      </c>
      <c r="G20" s="12" t="n">
        <f aca="false">(E20-E19)*100</f>
        <v>0</v>
      </c>
      <c r="H20" s="12" t="n">
        <f aca="false">IF(AND(ISNUMBER(D20),ISNUMBER(D19)),(D20/D19-1)*100,"")</f>
        <v>0.433495510804915</v>
      </c>
      <c r="I20" s="13" t="n">
        <f aca="false">LN(B20/B19)</f>
        <v>-0.128030590719675</v>
      </c>
      <c r="J20" s="11"/>
    </row>
    <row r="21" customFormat="false" ht="15" hidden="false" customHeight="false" outlineLevel="0" collapsed="false">
      <c r="A21" s="6" t="n">
        <v>45505</v>
      </c>
      <c r="B21" s="7" t="n">
        <v>20.02</v>
      </c>
      <c r="C21" s="8" t="n">
        <v>16.89</v>
      </c>
      <c r="D21" s="8" t="n">
        <v>129.3282</v>
      </c>
      <c r="E21" s="9" t="n">
        <v>0.1275</v>
      </c>
      <c r="F21" s="12" t="n">
        <f aca="false">(B21/B20-1)*100</f>
        <v>-1.28205128205129</v>
      </c>
      <c r="G21" s="12" t="n">
        <f aca="false">(E21-E20)*100</f>
        <v>-0.25</v>
      </c>
      <c r="H21" s="12" t="n">
        <f aca="false">IF(AND(ISNUMBER(D21),ISNUMBER(D20)),(D21/D20-1)*100,"")</f>
        <v>-0.443710230430627</v>
      </c>
      <c r="I21" s="13" t="n">
        <f aca="false">LN(B21/B20)</f>
        <v>-0.012903404835908</v>
      </c>
      <c r="J21" s="11"/>
    </row>
    <row r="22" customFormat="false" ht="15" hidden="false" customHeight="false" outlineLevel="0" collapsed="false">
      <c r="A22" s="6" t="n">
        <v>45536</v>
      </c>
      <c r="B22" s="7" t="n">
        <v>20.26</v>
      </c>
      <c r="C22" s="8" t="n">
        <v>16.818</v>
      </c>
      <c r="D22" s="8" t="n">
        <v>129.2019</v>
      </c>
      <c r="E22" s="9" t="n">
        <v>0.1275</v>
      </c>
      <c r="F22" s="12" t="n">
        <f aca="false">(B22/B21-1)*100</f>
        <v>1.1988011988012</v>
      </c>
      <c r="G22" s="12" t="n">
        <f aca="false">(E22-E21)*100</f>
        <v>0</v>
      </c>
      <c r="H22" s="12" t="n">
        <f aca="false">IF(AND(ISNUMBER(D22),ISNUMBER(D21)),(D22/D21-1)*100,"")</f>
        <v>-0.0976585153122156</v>
      </c>
      <c r="I22" s="13" t="n">
        <f aca="false">LN(B22/B21)</f>
        <v>0.0119167249334628</v>
      </c>
      <c r="J22" s="11"/>
    </row>
    <row r="23" customFormat="false" ht="15" hidden="false" customHeight="false" outlineLevel="0" collapsed="false">
      <c r="A23" s="6" t="n">
        <v>45566</v>
      </c>
      <c r="B23" s="7" t="n">
        <v>20.84</v>
      </c>
      <c r="C23" s="8" t="n">
        <v>16.11</v>
      </c>
      <c r="D23" s="8" t="n">
        <v>129.1962</v>
      </c>
      <c r="E23" s="9" t="n">
        <v>0.12</v>
      </c>
      <c r="F23" s="12" t="n">
        <f aca="false">(B23/B22-1)*100</f>
        <v>2.86278381046396</v>
      </c>
      <c r="G23" s="12" t="n">
        <f aca="false">(E23-E22)*100</f>
        <v>-0.750000000000001</v>
      </c>
      <c r="H23" s="12" t="n">
        <f aca="false">IF(AND(ISNUMBER(D23),ISNUMBER(D22)),(D23/D22-1)*100,"")</f>
        <v>-0.0044116998279331</v>
      </c>
      <c r="I23" s="13" t="n">
        <f aca="false">LN(B23/B22)</f>
        <v>0.0282257180646288</v>
      </c>
      <c r="J23" s="11"/>
    </row>
    <row r="24" customFormat="false" ht="15" hidden="false" customHeight="false" outlineLevel="0" collapsed="false">
      <c r="A24" s="6" t="n">
        <v>45597</v>
      </c>
      <c r="B24" s="7" t="n">
        <v>20.6</v>
      </c>
      <c r="C24" s="8" t="n">
        <v>14.1525</v>
      </c>
      <c r="D24" s="8" t="n">
        <v>129.4075</v>
      </c>
      <c r="E24" s="9" t="n">
        <v>0.12</v>
      </c>
      <c r="F24" s="12" t="n">
        <f aca="false">(B24/B23-1)*100</f>
        <v>-1.15163147792705</v>
      </c>
      <c r="G24" s="12" t="n">
        <f aca="false">(E24-E23)*100</f>
        <v>0</v>
      </c>
      <c r="H24" s="12" t="n">
        <f aca="false">IF(AND(ISNUMBER(D24),ISNUMBER(D23)),(D24/D23-1)*100,"")</f>
        <v>0.163549701926202</v>
      </c>
      <c r="I24" s="13" t="n">
        <f aca="false">LN(B24/B23)</f>
        <v>-0.0115831410896306</v>
      </c>
      <c r="J24" s="14" t="n">
        <v>1</v>
      </c>
    </row>
    <row r="25" customFormat="false" ht="15" hidden="false" customHeight="false" outlineLevel="0" collapsed="false">
      <c r="A25" s="6" t="n">
        <v>45627</v>
      </c>
      <c r="B25" s="7" t="n">
        <v>20.36</v>
      </c>
      <c r="C25" s="8" t="n">
        <v>11.834</v>
      </c>
      <c r="D25" s="8" t="n">
        <v>129.3459</v>
      </c>
      <c r="E25" s="9" t="n">
        <v>0.1125</v>
      </c>
      <c r="F25" s="12" t="n">
        <f aca="false">(B25/B24-1)*100</f>
        <v>-1.16504854368933</v>
      </c>
      <c r="G25" s="12" t="n">
        <f aca="false">(E25-E24)*100</f>
        <v>-0.749999999999999</v>
      </c>
      <c r="H25" s="12" t="n">
        <f aca="false">IF(AND(ISNUMBER(D25),ISNUMBER(D24)),(D25/D24-1)*100,"")</f>
        <v>-0.0476015686880604</v>
      </c>
      <c r="I25" s="13" t="n">
        <f aca="false">LN(B25/B24)</f>
        <v>-0.0117188841132135</v>
      </c>
      <c r="J25" s="14" t="n">
        <v>2</v>
      </c>
    </row>
    <row r="26" customFormat="false" ht="15" hidden="false" customHeight="false" outlineLevel="0" collapsed="false">
      <c r="A26" s="6" t="n">
        <v>45658</v>
      </c>
      <c r="B26" s="7" t="n">
        <v>21.37</v>
      </c>
      <c r="C26" s="8" t="n">
        <v>11.3225</v>
      </c>
      <c r="D26" s="8" t="n">
        <v>129.3862</v>
      </c>
      <c r="E26" s="9" t="n">
        <v>0.1125</v>
      </c>
      <c r="F26" s="12" t="n">
        <f aca="false">(B26/B25-1)*100</f>
        <v>4.96070726915521</v>
      </c>
      <c r="G26" s="12" t="n">
        <f aca="false">(E26-E25)*100</f>
        <v>0</v>
      </c>
      <c r="H26" s="12" t="n">
        <f aca="false">IF(AND(ISNUMBER(D26),ISNUMBER(D25)),(D26/D25-1)*100,"")</f>
        <v>0.0311567664688317</v>
      </c>
      <c r="I26" s="13" t="n">
        <f aca="false">LN(B26/B25)</f>
        <v>0.0484158776487343</v>
      </c>
      <c r="J26" s="14" t="n">
        <v>3</v>
      </c>
    </row>
    <row r="27" customFormat="false" ht="15" hidden="false" customHeight="false" outlineLevel="0" collapsed="false">
      <c r="A27" s="6" t="n">
        <v>45689</v>
      </c>
      <c r="B27" s="7" t="n">
        <v>22.78</v>
      </c>
      <c r="C27" s="8" t="n">
        <v>10.7975</v>
      </c>
      <c r="D27" s="8" t="n">
        <v>129.3043</v>
      </c>
      <c r="E27" s="9" t="n">
        <v>0.1075</v>
      </c>
      <c r="F27" s="12" t="n">
        <f aca="false">(B27/B26-1)*100</f>
        <v>6.59803462798316</v>
      </c>
      <c r="G27" s="12" t="n">
        <f aca="false">(E27-E26)*100</f>
        <v>-0.5</v>
      </c>
      <c r="H27" s="12" t="n">
        <f aca="false">IF(AND(ISNUMBER(D27),ISNUMBER(D26)),(D27/D26-1)*100,"")</f>
        <v>-0.0632988680400182</v>
      </c>
      <c r="I27" s="13" t="n">
        <f aca="false">LN(B27/B26)</f>
        <v>0.0638948886879799</v>
      </c>
      <c r="J27" s="14" t="n">
        <v>4</v>
      </c>
    </row>
    <row r="28" customFormat="false" ht="15" hidden="false" customHeight="false" outlineLevel="0" collapsed="false">
      <c r="A28" s="6" t="n">
        <v>45717</v>
      </c>
      <c r="B28" s="7" t="n">
        <v>22.99</v>
      </c>
      <c r="C28" s="8" t="n">
        <v>10.468</v>
      </c>
      <c r="D28" s="8" t="n">
        <v>129.3367</v>
      </c>
      <c r="E28" s="9" t="n">
        <v>0.1075</v>
      </c>
      <c r="F28" s="12" t="n">
        <f aca="false">(B28/B27-1)*100</f>
        <v>0.921861281826142</v>
      </c>
      <c r="G28" s="12" t="n">
        <f aca="false">(E28-E27)*100</f>
        <v>0</v>
      </c>
      <c r="H28" s="12" t="n">
        <f aca="false">IF(AND(ISNUMBER(D28),ISNUMBER(D27)),(D28/D27-1)*100,"")</f>
        <v>0.0250571713392267</v>
      </c>
      <c r="I28" s="13" t="n">
        <f aca="false">LN(B28/B27)</f>
        <v>0.00917638075605389</v>
      </c>
      <c r="J28" s="14" t="n">
        <v>5</v>
      </c>
    </row>
    <row r="29" customFormat="false" ht="15" hidden="false" customHeight="false" outlineLevel="0" collapsed="false">
      <c r="A29" s="6" t="n">
        <v>45748</v>
      </c>
      <c r="B29" s="7" t="n">
        <v>22.21</v>
      </c>
      <c r="C29" s="8" t="n">
        <v>10.1775</v>
      </c>
      <c r="D29" s="8" t="n">
        <v>129.5189</v>
      </c>
      <c r="E29" s="9" t="n">
        <v>0.1</v>
      </c>
      <c r="F29" s="12" t="n">
        <f aca="false">(B29/B28-1)*100</f>
        <v>-3.39277946933448</v>
      </c>
      <c r="G29" s="12" t="n">
        <f aca="false">(E29-E28)*100</f>
        <v>-0.749999999999999</v>
      </c>
      <c r="H29" s="12" t="n">
        <f aca="false">IF(AND(ISNUMBER(D29),ISNUMBER(D28)),(D29/D28-1)*100,"")</f>
        <v>0.140872621614752</v>
      </c>
      <c r="I29" s="13" t="n">
        <f aca="false">LN(B29/B28)</f>
        <v>-0.034516700868754</v>
      </c>
      <c r="J29" s="14" t="n">
        <v>6</v>
      </c>
    </row>
    <row r="30" customFormat="false" ht="15" hidden="false" customHeight="false" outlineLevel="0" collapsed="false">
      <c r="A30" s="6" t="n">
        <v>45778</v>
      </c>
      <c r="B30" s="7" t="n">
        <v>22.69</v>
      </c>
      <c r="C30" s="8" t="n">
        <v>10.005</v>
      </c>
      <c r="D30" s="8" t="n">
        <v>129.2767</v>
      </c>
      <c r="E30" s="9" t="n">
        <v>0.1</v>
      </c>
      <c r="F30" s="12" t="n">
        <f aca="false">(B30/B29-1)*100</f>
        <v>2.16118865375956</v>
      </c>
      <c r="G30" s="12" t="n">
        <f aca="false">(E30-E29)*100</f>
        <v>0</v>
      </c>
      <c r="H30" s="12" t="n">
        <f aca="false">IF(AND(ISNUMBER(D30),ISNUMBER(D29)),(D30/D29-1)*100,"")</f>
        <v>-0.186999735173787</v>
      </c>
      <c r="I30" s="13" t="n">
        <f aca="false">LN(B30/B29)</f>
        <v>0.0213816608854142</v>
      </c>
      <c r="J30" s="14" t="n">
        <v>7</v>
      </c>
    </row>
    <row r="31" customFormat="false" ht="15" hidden="false" customHeight="false" outlineLevel="0" collapsed="false">
      <c r="A31" s="6" t="n">
        <v>45809</v>
      </c>
      <c r="B31" s="7" t="n">
        <v>24.16</v>
      </c>
      <c r="C31" s="8" t="n">
        <v>9.842</v>
      </c>
      <c r="D31" s="8" t="n">
        <v>129.2453</v>
      </c>
      <c r="E31" s="9" t="n">
        <v>0.0975</v>
      </c>
      <c r="F31" s="12" t="n">
        <f aca="false">(B31/B30-1)*100</f>
        <v>6.47862494490965</v>
      </c>
      <c r="G31" s="12" t="n">
        <f aca="false">(E31-E30)*100</f>
        <v>-0.25</v>
      </c>
      <c r="H31" s="12" t="n">
        <f aca="false">IF(AND(ISNUMBER(D31),ISNUMBER(D30)),(D31/D30-1)*100,"")</f>
        <v>-0.0242889863370732</v>
      </c>
      <c r="I31" s="13" t="n">
        <f aca="false">LN(B31/B30)</f>
        <v>0.0627740742748638</v>
      </c>
      <c r="J31" s="14" t="n">
        <v>8</v>
      </c>
    </row>
    <row r="32" customFormat="false" ht="15" hidden="false" customHeight="false" outlineLevel="0" collapsed="false">
      <c r="A32" s="6" t="n">
        <v>45839</v>
      </c>
      <c r="B32" s="7" t="n">
        <v>24.19</v>
      </c>
      <c r="C32" s="8" t="n">
        <v>9.72</v>
      </c>
      <c r="D32" s="8" t="n">
        <v>129.2444</v>
      </c>
      <c r="E32" s="9" t="n">
        <v>0.0975</v>
      </c>
      <c r="F32" s="12" t="n">
        <f aca="false">(B32/B31-1)*100</f>
        <v>0.12417218543046</v>
      </c>
      <c r="G32" s="12" t="n">
        <f aca="false">(E32-E31)*100</f>
        <v>0</v>
      </c>
      <c r="H32" s="12" t="n">
        <f aca="false">IF(AND(ISNUMBER(D32),ISNUMBER(D31)),(D32/D31-1)*100,"")</f>
        <v>-0.000696350273454716</v>
      </c>
      <c r="I32" s="13" t="n">
        <f aca="false">LN(B32/B31)</f>
        <v>0.00124095155532165</v>
      </c>
      <c r="J32" s="14" t="n">
        <v>9</v>
      </c>
    </row>
    <row r="33" customFormat="false" ht="15" hidden="false" customHeight="false" outlineLevel="0" collapsed="false">
      <c r="A33" s="6" t="n">
        <v>45870</v>
      </c>
      <c r="B33" s="7" t="n">
        <v>29.56</v>
      </c>
      <c r="C33" s="8" t="n">
        <v>9.27</v>
      </c>
      <c r="D33" s="8" t="n">
        <v>129.2432</v>
      </c>
      <c r="E33" s="9" t="n">
        <v>0.095</v>
      </c>
      <c r="F33" s="12" t="n">
        <f aca="false">(B33/B32-1)*100</f>
        <v>22.199255890864</v>
      </c>
      <c r="G33" s="12" t="n">
        <f aca="false">(E33-E32)*100</f>
        <v>-0.25</v>
      </c>
      <c r="H33" s="12" t="n">
        <f aca="false">IF(AND(ISNUMBER(D33),ISNUMBER(D32)),(D33/D32-1)*100,"")</f>
        <v>-0.000928473496730753</v>
      </c>
      <c r="I33" s="13" t="n">
        <f aca="false">LN(B33/B32)</f>
        <v>0.200482771458065</v>
      </c>
      <c r="J33" s="14" t="n">
        <v>10</v>
      </c>
    </row>
    <row r="34" customFormat="false" ht="15" hidden="false" customHeight="false" outlineLevel="0" collapsed="false">
      <c r="A34" s="6" t="n">
        <v>45901</v>
      </c>
      <c r="B34" s="7" t="n">
        <v>35.51</v>
      </c>
      <c r="C34" s="8" t="n">
        <v>9.554</v>
      </c>
      <c r="D34" s="8" t="n">
        <v>129.2426</v>
      </c>
      <c r="E34" s="9" t="n">
        <v>0.095</v>
      </c>
      <c r="F34" s="12" t="n">
        <f aca="false">(B34/B33-1)*100</f>
        <v>20.128552097429</v>
      </c>
      <c r="G34" s="12" t="n">
        <f aca="false">(E34-E33)*100</f>
        <v>0</v>
      </c>
      <c r="H34" s="12" t="n">
        <f aca="false">IF(AND(ISNUMBER(D34),ISNUMBER(D33)),(D34/D33-1)*100,"")</f>
        <v>-0.000464241058706349</v>
      </c>
      <c r="I34" s="13" t="n">
        <f aca="false">LN(B34/B33)</f>
        <v>0.183392250874996</v>
      </c>
      <c r="J34" s="14" t="n">
        <v>11</v>
      </c>
    </row>
    <row r="35" customFormat="false" ht="15" hidden="false" customHeight="false" outlineLevel="0" collapsed="false">
      <c r="A35" s="6" t="n">
        <v>45931</v>
      </c>
      <c r="B35" s="7" t="n">
        <v>37.04</v>
      </c>
      <c r="C35" s="8" t="n">
        <v>9.41</v>
      </c>
      <c r="D35" s="8" t="n">
        <v>129.2388</v>
      </c>
      <c r="E35" s="9" t="n">
        <v>0.0925</v>
      </c>
      <c r="F35" s="12" t="n">
        <f aca="false">(B35/B34-1)*100</f>
        <v>4.30864545198535</v>
      </c>
      <c r="G35" s="12" t="n">
        <f aca="false">(E35-E34)*100</f>
        <v>-0.25</v>
      </c>
      <c r="H35" s="12" t="n">
        <f aca="false">IF(AND(ISNUMBER(D35),ISNUMBER(D34)),(D35/D34-1)*100,"")</f>
        <v>-0.00294020702152897</v>
      </c>
      <c r="I35" s="13" t="n">
        <f aca="false">LN(B35/B34)</f>
        <v>0.042184062822982</v>
      </c>
      <c r="J35" s="14" t="n">
        <v>12</v>
      </c>
    </row>
    <row r="36" customFormat="false" ht="15" hidden="false" customHeight="false" outlineLevel="0" collapsed="false">
      <c r="A36" s="6" t="n">
        <v>45962</v>
      </c>
      <c r="B36" s="7" t="n">
        <v>41.72</v>
      </c>
      <c r="C36" s="8" t="n">
        <v>9.3575</v>
      </c>
      <c r="D36" s="8" t="n">
        <v>129.5007</v>
      </c>
      <c r="E36" s="9" t="n">
        <v>0.0925</v>
      </c>
      <c r="F36" s="12" t="n">
        <f aca="false">(B36/B35-1)*100</f>
        <v>12.6349892008639</v>
      </c>
      <c r="G36" s="12" t="n">
        <f aca="false">(E36-E35)*100</f>
        <v>0</v>
      </c>
      <c r="H36" s="12" t="n">
        <f aca="false">IF(AND(ISNUMBER(D36),ISNUMBER(D35)),(D36/D35-1)*100,"")</f>
        <v>0.202648121152471</v>
      </c>
      <c r="I36" s="13" t="n">
        <f aca="false">LN(B36/B35)</f>
        <v>0.118982220354593</v>
      </c>
      <c r="J36" s="14" t="n">
        <v>13</v>
      </c>
    </row>
    <row r="37" customFormat="false" ht="15" hidden="false" customHeight="false" outlineLevel="0" collapsed="false">
      <c r="A37" s="6" t="n">
        <v>45992</v>
      </c>
      <c r="B37" s="7" t="n">
        <v>37.61</v>
      </c>
      <c r="C37" s="8" t="n">
        <v>9.286</v>
      </c>
      <c r="D37" s="8" t="n">
        <v>129.0959</v>
      </c>
      <c r="E37" s="9" t="n">
        <v>0.09</v>
      </c>
      <c r="F37" s="12" t="n">
        <f aca="false">(B37/B36-1)*100</f>
        <v>-9.85139022051774</v>
      </c>
      <c r="G37" s="12" t="n">
        <f aca="false">(E37-E36)*100</f>
        <v>-0.25</v>
      </c>
      <c r="H37" s="12" t="n">
        <f aca="false">IF(AND(ISNUMBER(D37),ISNUMBER(D36)),(D37/D36-1)*100,"")</f>
        <v>-0.312585182937231</v>
      </c>
      <c r="I37" s="13" t="n">
        <f aca="false">LN(B37/B36)</f>
        <v>-0.103710657650327</v>
      </c>
      <c r="J37" s="14" t="n">
        <v>14</v>
      </c>
    </row>
    <row r="38" customFormat="false" ht="15" hidden="false" customHeight="false" outlineLevel="0" collapsed="false">
      <c r="A38" s="6" t="n">
        <v>46023</v>
      </c>
      <c r="B38" s="7" t="n">
        <v>38.79</v>
      </c>
      <c r="C38" s="8" t="n">
        <v>9.2025</v>
      </c>
      <c r="D38" s="8" t="n">
        <v>129.0223</v>
      </c>
      <c r="E38" s="9" t="n">
        <v>0.09</v>
      </c>
      <c r="F38" s="12" t="n">
        <f aca="false">(B38/B37-1)*100</f>
        <v>3.13746344057431</v>
      </c>
      <c r="G38" s="12" t="n">
        <f aca="false">(E38-E37)*100</f>
        <v>0</v>
      </c>
      <c r="H38" s="12" t="n">
        <f aca="false">IF(AND(ISNUMBER(D38),ISNUMBER(D37)),(D38/D37-1)*100,"")</f>
        <v>-0.0570118803153274</v>
      </c>
      <c r="I38" s="13" t="n">
        <f aca="false">LN(B38/B37)</f>
        <v>0.0308925089696307</v>
      </c>
      <c r="J38" s="14" t="n">
        <v>15</v>
      </c>
    </row>
    <row r="39" customFormat="false" ht="15" hidden="false" customHeight="false" outlineLevel="0" collapsed="false">
      <c r="A39" s="6" t="n">
        <v>46054</v>
      </c>
      <c r="B39" s="7" t="n">
        <v>41.55</v>
      </c>
      <c r="C39" s="8" t="n">
        <v>9.0725</v>
      </c>
      <c r="D39" s="8" t="n">
        <v>129.0191</v>
      </c>
      <c r="E39" s="9" t="n">
        <v>0.0875</v>
      </c>
      <c r="F39" s="12" t="n">
        <f aca="false">(B39/B38-1)*100</f>
        <v>7.11523588553751</v>
      </c>
      <c r="G39" s="12" t="n">
        <f aca="false">(E39-E38)*100</f>
        <v>-0.25</v>
      </c>
      <c r="H39" s="12" t="n">
        <f aca="false">IF(AND(ISNUMBER(D39),ISNUMBER(D38)),(D39/D38-1)*100,"")</f>
        <v>-0.00248019140877132</v>
      </c>
      <c r="I39" s="13" t="n">
        <f aca="false">LN(B39/B38)</f>
        <v>0.0687350398495814</v>
      </c>
      <c r="J39" s="14" t="n">
        <v>16</v>
      </c>
    </row>
    <row r="40" customFormat="false" ht="15" hidden="false" customHeight="false" outlineLevel="0" collapsed="false">
      <c r="A40" s="6" t="n">
        <v>46082</v>
      </c>
      <c r="B40" s="7" t="n">
        <v>42.76</v>
      </c>
      <c r="C40" s="8" t="n">
        <v>8.506</v>
      </c>
      <c r="D40" s="8" t="n">
        <v>129.4541</v>
      </c>
      <c r="E40" s="9" t="n">
        <v>0.0875</v>
      </c>
      <c r="F40" s="12" t="n">
        <f aca="false">(B40/B39-1)*100</f>
        <v>2.91215403128762</v>
      </c>
      <c r="G40" s="12" t="n">
        <f aca="false">(E40-E39)*100</f>
        <v>0</v>
      </c>
      <c r="H40" s="12" t="n">
        <f aca="false">IF(AND(ISNUMBER(D40),ISNUMBER(D39)),(D40/D39-1)*100,"")</f>
        <v>0.337159381827967</v>
      </c>
      <c r="I40" s="13" t="n">
        <f aca="false">LN(B40/B39)</f>
        <v>0.0287055648553874</v>
      </c>
      <c r="J40" s="14" t="n">
        <v>17</v>
      </c>
    </row>
    <row r="41" customFormat="false" ht="15" hidden="false" customHeight="false" outlineLevel="0" collapsed="false">
      <c r="A41" s="6" t="n">
        <v>46113</v>
      </c>
      <c r="B41" s="7" t="n">
        <v>42.1</v>
      </c>
      <c r="C41" s="8" t="n">
        <v>8.2725</v>
      </c>
      <c r="D41" s="8" t="n">
        <v>129.36</v>
      </c>
      <c r="E41" s="9" t="n">
        <v>0.0875</v>
      </c>
      <c r="F41" s="12" t="n">
        <f aca="false">(B41/B40-1)*100</f>
        <v>-1.54349859681945</v>
      </c>
      <c r="G41" s="12" t="n">
        <f aca="false">(E41-E40)*100</f>
        <v>0</v>
      </c>
      <c r="H41" s="12" t="n">
        <f aca="false">IF(AND(ISNUMBER(D41),ISNUMBER(D40)),(D41/D40-1)*100,"")</f>
        <v>-0.07268985686818</v>
      </c>
      <c r="I41" s="13" t="n">
        <f aca="false">LN(B41/B40)</f>
        <v>-0.0155553454685086</v>
      </c>
      <c r="J41" s="14" t="n">
        <v>18</v>
      </c>
    </row>
    <row r="42" customFormat="false" ht="15" hidden="false" customHeight="false" outlineLevel="0" collapsed="false">
      <c r="A42" s="6" t="n">
        <v>46143</v>
      </c>
      <c r="B42" s="7" t="n">
        <v>45.77</v>
      </c>
      <c r="C42" s="8" t="n">
        <v>8.5425</v>
      </c>
      <c r="D42" s="8" t="n">
        <v>129.4205</v>
      </c>
      <c r="E42" s="9" t="n">
        <v>0.0875</v>
      </c>
      <c r="F42" s="12" t="n">
        <f aca="false">(B42/B41-1)*100</f>
        <v>8.71733966745845</v>
      </c>
      <c r="G42" s="12" t="n">
        <f aca="false">(E42-E41)*100</f>
        <v>0</v>
      </c>
      <c r="H42" s="12" t="n">
        <f aca="false">IF(AND(ISNUMBER(D42),ISNUMBER(D41)),(D42/D41-1)*100,"")</f>
        <v>0.0467687074829914</v>
      </c>
      <c r="I42" s="13" t="n">
        <f aca="false">LN(B42/B41)</f>
        <v>0.0835811139772151</v>
      </c>
      <c r="J42" s="14" t="n">
        <v>19</v>
      </c>
    </row>
    <row r="43" customFormat="false" ht="15" hidden="false" customHeight="false" outlineLevel="0" collapsed="false">
      <c r="A43" s="6" t="n">
        <v>46174</v>
      </c>
      <c r="B43" s="7" t="n">
        <v>47.05</v>
      </c>
      <c r="C43" s="8" t="n">
        <v>8.844</v>
      </c>
      <c r="D43" s="8" t="n">
        <v>129.4814</v>
      </c>
      <c r="E43" s="9" t="n">
        <v>0.0875</v>
      </c>
      <c r="F43" s="12" t="n">
        <f aca="false">(B43/B42-1)*100</f>
        <v>2.79659165392177</v>
      </c>
      <c r="G43" s="12" t="n">
        <f aca="false">(E43-E42)*100</f>
        <v>0</v>
      </c>
      <c r="H43" s="12" t="n">
        <f aca="false">IF(AND(ISNUMBER(D43),ISNUMBER(D42)),(D43/D42-1)*100,"")</f>
        <v>0.0470559146348526</v>
      </c>
      <c r="I43" s="13" t="n">
        <f aca="false">LN(B43/B42)</f>
        <v>0.0275820113658378</v>
      </c>
      <c r="J43" s="14" t="n">
        <v>20</v>
      </c>
    </row>
    <row r="44" customFormat="false" ht="15" hidden="false" customHeight="false" outlineLevel="0" collapsed="false">
      <c r="A44" s="6" t="n">
        <v>46204</v>
      </c>
      <c r="B44" s="7" t="n">
        <v>44.03</v>
      </c>
      <c r="C44" s="8" t="n">
        <v>8.975</v>
      </c>
      <c r="D44" s="8" t="n">
        <v>129.397</v>
      </c>
      <c r="E44" s="9" t="n">
        <v>0.0875</v>
      </c>
      <c r="F44" s="12" t="n">
        <f aca="false">(B44/B43-1)*100</f>
        <v>-6.41870350690754</v>
      </c>
      <c r="G44" s="12" t="n">
        <f aca="false">(E44-E43)*100</f>
        <v>0</v>
      </c>
      <c r="H44" s="12" t="n">
        <f aca="false">IF(AND(ISNUMBER(D44),ISNUMBER(D43)),(D44/D43-1)*100,"")</f>
        <v>-0.0651831073806841</v>
      </c>
      <c r="I44" s="13" t="n">
        <f aca="false">LN(B44/B43)</f>
        <v>-0.0663396462637261</v>
      </c>
      <c r="J44" s="14" t="n">
        <v>21</v>
      </c>
    </row>
    <row r="45" customFormat="false" ht="15" hidden="false" customHeight="false" outlineLevel="0" collapsed="false">
      <c r="A45" s="6" t="n">
        <v>46235</v>
      </c>
      <c r="B45" s="7" t="n">
        <v>44.42</v>
      </c>
      <c r="C45" s="8" t="n">
        <v>9.026</v>
      </c>
      <c r="D45" s="8" t="n">
        <v>129.3913</v>
      </c>
      <c r="E45" s="9" t="n">
        <v>0.0875</v>
      </c>
      <c r="F45" s="12" t="n">
        <f aca="false">(B45/B44-1)*100</f>
        <v>0.885759709289125</v>
      </c>
      <c r="G45" s="12" t="n">
        <f aca="false">(E45-E44)*100</f>
        <v>0</v>
      </c>
      <c r="H45" s="12" t="n">
        <f aca="false">IF(AND(ISNUMBER(D45),ISNUMBER(D44)),(D45/D44-1)*100,"")</f>
        <v>-0.00440504803047581</v>
      </c>
      <c r="I45" s="13" t="n">
        <f aca="false">LN(B45/B44)</f>
        <v>0.00881859869861896</v>
      </c>
      <c r="J45" s="14" t="n">
        <v>22</v>
      </c>
    </row>
    <row r="46" customFormat="false" ht="15" hidden="false" customHeight="false" outlineLevel="0" collapsed="false">
      <c r="A46" s="6" t="n">
        <v>46266</v>
      </c>
      <c r="B46" s="7" t="n">
        <v>48.23</v>
      </c>
      <c r="C46" s="8" t="n">
        <v>9.06</v>
      </c>
      <c r="D46" s="8" t="n">
        <v>129.5279</v>
      </c>
      <c r="E46" s="9" t="n">
        <v>0.0875</v>
      </c>
      <c r="F46" s="12" t="n">
        <f aca="false">(B46/B45-1)*100</f>
        <v>8.57721746960827</v>
      </c>
      <c r="G46" s="12" t="n">
        <f aca="false">(E46-E45)*100</f>
        <v>0</v>
      </c>
      <c r="H46" s="12" t="n">
        <f aca="false">IF(AND(ISNUMBER(D46),ISNUMBER(D45)),(D46/D45-1)*100,"")</f>
        <v>0.10557124010655</v>
      </c>
      <c r="I46" s="13" t="n">
        <f aca="false">LN(B46/B45)</f>
        <v>0.082291415614599</v>
      </c>
      <c r="J46" s="14" t="n">
        <v>23</v>
      </c>
    </row>
    <row r="47" customFormat="false" ht="15" hidden="false" customHeight="false" outlineLevel="0" collapsed="false">
      <c r="A47" s="6" t="n">
        <v>46296</v>
      </c>
      <c r="B47" s="7" t="n">
        <v>46.79</v>
      </c>
      <c r="C47" s="8" t="n">
        <v>9.04</v>
      </c>
      <c r="D47" s="8" t="n">
        <v>129.8229</v>
      </c>
      <c r="E47" s="9" t="n">
        <v>0.0875</v>
      </c>
      <c r="F47" s="12" t="n">
        <f aca="false">(B47/B46-1)*100</f>
        <v>-2.98569355173128</v>
      </c>
      <c r="G47" s="12" t="n">
        <f aca="false">(E47-E46)*100</f>
        <v>0</v>
      </c>
      <c r="H47" s="12" t="n">
        <f aca="false">IF(AND(ISNUMBER(D47),ISNUMBER(D46)),(D47/D46-1)*100,"")</f>
        <v>0.227750160390161</v>
      </c>
      <c r="I47" s="13" t="n">
        <f aca="false">LN(B47/B46)</f>
        <v>-0.0303117292027555</v>
      </c>
      <c r="J47" s="14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44"/>
    <col collapsed="false" customWidth="true" hidden="false" outlineLevel="0" max="4" min="4" style="0" width="12"/>
  </cols>
  <sheetData>
    <row r="1" customFormat="false" ht="17.35" hidden="false" customHeight="false" outlineLevel="0" collapsed="false">
      <c r="A1" s="1" t="s">
        <v>28</v>
      </c>
    </row>
    <row r="3" customFormat="false" ht="15" hidden="false" customHeight="false" outlineLevel="0" collapsed="false">
      <c r="A3" s="4" t="s">
        <v>29</v>
      </c>
      <c r="B3" s="4" t="s">
        <v>30</v>
      </c>
      <c r="C3" s="4" t="s">
        <v>31</v>
      </c>
    </row>
    <row r="4" customFormat="false" ht="15" hidden="false" customHeight="false" outlineLevel="0" collapsed="false">
      <c r="A4" s="10" t="s">
        <v>32</v>
      </c>
      <c r="B4" s="15" t="n">
        <f aca="false">Data!B2</f>
        <v>23.23</v>
      </c>
      <c r="C4" s="10"/>
    </row>
    <row r="5" customFormat="false" ht="15" hidden="false" customHeight="false" outlineLevel="0" collapsed="false">
      <c r="A5" s="10" t="s">
        <v>33</v>
      </c>
      <c r="B5" s="15" t="n">
        <f aca="false">Data!B47</f>
        <v>46.79</v>
      </c>
      <c r="C5" s="10" t="s">
        <v>34</v>
      </c>
    </row>
    <row r="6" customFormat="false" ht="15" hidden="false" customHeight="false" outlineLevel="0" collapsed="false">
      <c r="A6" s="10" t="s">
        <v>35</v>
      </c>
      <c r="B6" s="16" t="n">
        <f aca="false">B5/B4-1</f>
        <v>1.01420576840293</v>
      </c>
      <c r="C6" s="10"/>
    </row>
    <row r="7" customFormat="false" ht="15" hidden="false" customHeight="false" outlineLevel="0" collapsed="false">
      <c r="A7" s="10" t="s">
        <v>36</v>
      </c>
      <c r="B7" s="12" t="n">
        <f aca="false">MAX(Data!B2:B47)</f>
        <v>48.23</v>
      </c>
      <c r="C7" s="10"/>
    </row>
    <row r="8" customFormat="false" ht="15" hidden="false" customHeight="false" outlineLevel="0" collapsed="false">
      <c r="A8" s="10" t="s">
        <v>37</v>
      </c>
      <c r="B8" s="12" t="n">
        <f aca="false">MIN(Data!B2:B47)</f>
        <v>16.37</v>
      </c>
      <c r="C8" s="10"/>
    </row>
    <row r="9" customFormat="false" ht="15" hidden="false" customHeight="false" outlineLevel="0" collapsed="false">
      <c r="A9" s="10" t="s">
        <v>38</v>
      </c>
      <c r="B9" s="12" t="n">
        <f aca="false">AVERAGE(Data!F3:F47)</f>
        <v>1.79260181198468</v>
      </c>
      <c r="C9" s="10" t="s">
        <v>39</v>
      </c>
    </row>
    <row r="10" customFormat="false" ht="15" hidden="false" customHeight="false" outlineLevel="0" collapsed="false">
      <c r="A10" s="10" t="s">
        <v>40</v>
      </c>
      <c r="B10" s="12" t="n">
        <f aca="false">MEDIAN(Data!F3:F47)</f>
        <v>1.1988011988012</v>
      </c>
      <c r="C10" s="10"/>
    </row>
    <row r="11" customFormat="false" ht="15" hidden="false" customHeight="false" outlineLevel="0" collapsed="false">
      <c r="A11" s="10" t="s">
        <v>41</v>
      </c>
      <c r="B11" s="12" t="n">
        <f aca="false">STDEV(Data!F3:F47)</f>
        <v>6.92176015971088</v>
      </c>
      <c r="C11" s="10" t="s">
        <v>42</v>
      </c>
    </row>
    <row r="12" customFormat="false" ht="15" hidden="false" customHeight="false" outlineLevel="0" collapsed="false">
      <c r="A12" s="10" t="s">
        <v>43</v>
      </c>
      <c r="B12" s="12" t="n">
        <f aca="false">MAX(Data!F3:F47)</f>
        <v>22.199255890864</v>
      </c>
      <c r="C12" s="10"/>
    </row>
    <row r="13" customFormat="false" ht="15" hidden="false" customHeight="false" outlineLevel="0" collapsed="false">
      <c r="A13" s="10" t="s">
        <v>44</v>
      </c>
      <c r="B13" s="12" t="n">
        <f aca="false">MIN(Data!F3:F47)</f>
        <v>-12.0173535791757</v>
      </c>
      <c r="C13" s="10"/>
    </row>
    <row r="14" customFormat="false" ht="15" hidden="false" customHeight="false" outlineLevel="0" collapsed="false">
      <c r="A14" s="10" t="s">
        <v>45</v>
      </c>
      <c r="B14" s="17" t="n">
        <f aca="false">CORREL(Data!F7:F47,Data!G7:G47)</f>
        <v>-0.0709217301526886</v>
      </c>
      <c r="C14" s="10" t="s">
        <v>46</v>
      </c>
    </row>
    <row r="15" customFormat="false" ht="15" hidden="false" customHeight="false" outlineLevel="0" collapsed="false">
      <c r="A15" s="10" t="s">
        <v>47</v>
      </c>
      <c r="B15" s="17" t="n">
        <f aca="false">CORREL(Data!F7:F47,Data!H7:H47)</f>
        <v>-0.118228140659021</v>
      </c>
      <c r="C15" s="10" t="s">
        <v>46</v>
      </c>
    </row>
    <row r="16" customFormat="false" ht="15" hidden="false" customHeight="false" outlineLevel="0" collapsed="false">
      <c r="A16" s="10" t="s">
        <v>48</v>
      </c>
      <c r="B16" s="17" t="n">
        <f aca="false">CORREL(Data!B2:B47,Data!E2:E47)</f>
        <v>-0.68452896697934</v>
      </c>
      <c r="C16" s="10" t="s">
        <v>49</v>
      </c>
    </row>
    <row r="17" customFormat="false" ht="15" hidden="false" customHeight="false" outlineLevel="0" collapsed="false">
      <c r="A17" s="10" t="s">
        <v>50</v>
      </c>
      <c r="B17" s="17" t="n">
        <f aca="false">CORREL(Data!B2:B47,Data!C2:C47)</f>
        <v>-0.737598342832519</v>
      </c>
      <c r="C17" s="10" t="s">
        <v>51</v>
      </c>
    </row>
    <row r="18" customFormat="false" ht="15" hidden="false" customHeight="false" outlineLevel="0" collapsed="false">
      <c r="A18" s="10" t="s">
        <v>52</v>
      </c>
      <c r="B18" s="17" t="n">
        <f aca="false">CORREL(Data!B6:B47,Data!D6:D47)</f>
        <v>-0.509487241740089</v>
      </c>
      <c r="C18" s="10" t="s">
        <v>53</v>
      </c>
    </row>
    <row r="21" customFormat="false" ht="15" hidden="false" customHeight="false" outlineLevel="0" collapsed="false">
      <c r="A21" s="4" t="s">
        <v>54</v>
      </c>
      <c r="B21" s="4" t="s">
        <v>55</v>
      </c>
      <c r="C21" s="4" t="s">
        <v>56</v>
      </c>
      <c r="D21" s="4" t="s">
        <v>57</v>
      </c>
    </row>
    <row r="22" customFormat="false" ht="15" hidden="false" customHeight="false" outlineLevel="0" collapsed="false">
      <c r="A22" s="10" t="s">
        <v>58</v>
      </c>
      <c r="B22" s="15" t="n">
        <f aca="false">Data!B2</f>
        <v>23.23</v>
      </c>
      <c r="C22" s="15" t="n">
        <f aca="false">Data!B13</f>
        <v>16.82</v>
      </c>
      <c r="D22" s="16" t="n">
        <f aca="false">C22/B22-1</f>
        <v>-0.275936289281102</v>
      </c>
    </row>
    <row r="23" customFormat="false" ht="15" hidden="false" customHeight="false" outlineLevel="0" collapsed="false">
      <c r="A23" s="10" t="s">
        <v>59</v>
      </c>
      <c r="B23" s="15" t="n">
        <f aca="false">Data!B14</f>
        <v>17.55</v>
      </c>
      <c r="C23" s="15" t="n">
        <f aca="false">Data!B25</f>
        <v>20.36</v>
      </c>
      <c r="D23" s="16" t="n">
        <f aca="false">C23/B23-1</f>
        <v>0.16011396011396</v>
      </c>
    </row>
    <row r="24" customFormat="false" ht="15" hidden="false" customHeight="false" outlineLevel="0" collapsed="false">
      <c r="A24" s="10" t="s">
        <v>60</v>
      </c>
      <c r="B24" s="15" t="n">
        <f aca="false">Data!B26</f>
        <v>21.37</v>
      </c>
      <c r="C24" s="15" t="n">
        <f aca="false">Data!B37</f>
        <v>37.61</v>
      </c>
      <c r="D24" s="16" t="n">
        <f aca="false">C24/B24-1</f>
        <v>0.759943846513804</v>
      </c>
    </row>
    <row r="25" customFormat="false" ht="15" hidden="false" customHeight="false" outlineLevel="0" collapsed="false">
      <c r="A25" s="10" t="s">
        <v>61</v>
      </c>
      <c r="B25" s="15" t="n">
        <f aca="false">Data!B38</f>
        <v>38.79</v>
      </c>
      <c r="C25" s="15" t="n">
        <f aca="false">Data!B47</f>
        <v>46.79</v>
      </c>
      <c r="D25" s="16" t="n">
        <f aca="false">C25/B25-1</f>
        <v>0.206238721319928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7" min="2" style="0" width="14"/>
  </cols>
  <sheetData>
    <row r="1" customFormat="false" ht="17.35" hidden="false" customHeight="false" outlineLevel="0" collapsed="false">
      <c r="A1" s="1" t="s">
        <v>62</v>
      </c>
    </row>
    <row r="2" customFormat="false" ht="15" hidden="false" customHeight="false" outlineLevel="0" collapsed="false">
      <c r="A2" s="5" t="s">
        <v>63</v>
      </c>
    </row>
    <row r="5" customFormat="false" ht="15" hidden="false" customHeight="false" outlineLevel="0" collapsed="false">
      <c r="A5" s="4" t="s">
        <v>64</v>
      </c>
      <c r="B5" s="4" t="s">
        <v>65</v>
      </c>
      <c r="C5" s="4" t="s">
        <v>66</v>
      </c>
      <c r="D5" s="4" t="s">
        <v>67</v>
      </c>
      <c r="E5" s="4" t="s">
        <v>68</v>
      </c>
      <c r="F5" s="4" t="s">
        <v>69</v>
      </c>
      <c r="G5" s="4" t="s">
        <v>70</v>
      </c>
    </row>
    <row r="6" customFormat="false" ht="15" hidden="false" customHeight="false" outlineLevel="0" collapsed="false">
      <c r="A6" s="10" t="s">
        <v>71</v>
      </c>
      <c r="B6" s="13" t="n">
        <f aca="false">INDEX(LINEST(Data!$F$7:$F$47,Data!$G$7:$H$47,TRUE(),TRUE()),1,3)</f>
        <v>2.14790408288967</v>
      </c>
      <c r="C6" s="13" t="n">
        <f aca="false">INDEX(LINEST(Data!$F$7:$F$47,Data!$G$7:$H$47,TRUE(),TRUE()),2,3)</f>
        <v>1.11536168674582</v>
      </c>
      <c r="D6" s="17" t="n">
        <f aca="false">B6/C6</f>
        <v>1.92574669581523</v>
      </c>
      <c r="E6" s="17" t="n">
        <f aca="false">TDIST(ABS(D6),$B$17,2)</f>
        <v>0.0616427255219216</v>
      </c>
      <c r="F6" s="17" t="n">
        <f aca="false">B6-TINV(0.05,$B$17)*C6</f>
        <v>-0.110027606409585</v>
      </c>
      <c r="G6" s="17" t="n">
        <f aca="false">B6+TINV(0.05,$B$17)*C6</f>
        <v>4.40583577218892</v>
      </c>
    </row>
    <row r="7" customFormat="false" ht="15" hidden="false" customHeight="false" outlineLevel="0" collapsed="false">
      <c r="A7" s="10" t="s">
        <v>72</v>
      </c>
      <c r="B7" s="13" t="n">
        <f aca="false">INDEX(LINEST(Data!$F$7:$F$47,Data!$G$7:$H$47,TRUE(),TRUE()),1,2)</f>
        <v>-1.07169389373009</v>
      </c>
      <c r="C7" s="13" t="n">
        <f aca="false">INDEX(LINEST(Data!$F$7:$F$47,Data!$G$7:$H$47,TRUE(),TRUE()),2,2)</f>
        <v>2.59342374377141</v>
      </c>
      <c r="D7" s="17" t="n">
        <f aca="false">B7/C7</f>
        <v>-0.413235166950237</v>
      </c>
      <c r="E7" s="17" t="n">
        <f aca="false">TDIST(ABS(D7),$B$17,2)</f>
        <v>0.681757028747491</v>
      </c>
      <c r="F7" s="17" t="n">
        <f aca="false">B7-TINV(0.05,$B$17)*C7</f>
        <v>-6.32180578517167</v>
      </c>
      <c r="G7" s="17" t="n">
        <f aca="false">B7+TINV(0.05,$B$17)*C7</f>
        <v>4.17841799771149</v>
      </c>
    </row>
    <row r="8" customFormat="false" ht="15" hidden="false" customHeight="false" outlineLevel="0" collapsed="false">
      <c r="A8" s="10" t="s">
        <v>73</v>
      </c>
      <c r="B8" s="13" t="n">
        <f aca="false">INDEX(LINEST(Data!$F$7:$F$47,Data!$G$7:$H$47,TRUE(),TRUE()),1,1)</f>
        <v>-0.397519931047861</v>
      </c>
      <c r="C8" s="13" t="n">
        <f aca="false">INDEX(LINEST(Data!$F$7:$F$47,Data!$G$7:$H$47,TRUE(),TRUE()),2,1)</f>
        <v>0.552774013991904</v>
      </c>
      <c r="D8" s="17" t="n">
        <f aca="false">B8/C8</f>
        <v>-0.719136430052378</v>
      </c>
      <c r="E8" s="17" t="n">
        <f aca="false">TDIST(ABS(D8),$B$17,2)</f>
        <v>0.476456274065904</v>
      </c>
      <c r="F8" s="17" t="n">
        <f aca="false">B8-TINV(0.05,$B$17)*C8</f>
        <v>-1.51655241893527</v>
      </c>
      <c r="G8" s="17" t="n">
        <f aca="false">B8+TINV(0.05,$B$17)*C8</f>
        <v>0.721512556839544</v>
      </c>
    </row>
    <row r="10" customFormat="false" ht="15" hidden="false" customHeight="false" outlineLevel="0" collapsed="false">
      <c r="A10" s="4" t="s">
        <v>74</v>
      </c>
      <c r="B10" s="4" t="s">
        <v>30</v>
      </c>
    </row>
    <row r="11" customFormat="false" ht="15" hidden="false" customHeight="false" outlineLevel="0" collapsed="false">
      <c r="A11" s="10" t="s">
        <v>75</v>
      </c>
      <c r="B11" s="13" t="n">
        <f aca="false">INDEX(LINEST(Data!$F$7:$F$47,Data!$G$7:$H$47,TRUE(),TRUE()),3,1)</f>
        <v>0.0183890282960535</v>
      </c>
    </row>
    <row r="12" customFormat="false" ht="15" hidden="false" customHeight="false" outlineLevel="0" collapsed="false">
      <c r="A12" s="10" t="s">
        <v>76</v>
      </c>
      <c r="B12" s="13" t="n">
        <f aca="false">1-(1-B11)*(B16-1)/B17</f>
        <v>-0.0332747070567858</v>
      </c>
    </row>
    <row r="13" customFormat="false" ht="15" hidden="false" customHeight="false" outlineLevel="0" collapsed="false">
      <c r="A13" s="10" t="s">
        <v>77</v>
      </c>
      <c r="B13" s="17" t="n">
        <f aca="false">INDEX(LINEST(Data!$F$7:$F$47,Data!$G$7:$H$47,TRUE(),TRUE()),4,1)</f>
        <v>0.355936870814023</v>
      </c>
    </row>
    <row r="14" customFormat="false" ht="15" hidden="false" customHeight="false" outlineLevel="0" collapsed="false">
      <c r="A14" s="10" t="s">
        <v>78</v>
      </c>
      <c r="B14" s="17" t="n">
        <f aca="false">FDIST(B13,2,B17)</f>
        <v>0.702827385375703</v>
      </c>
    </row>
    <row r="15" customFormat="false" ht="15" hidden="false" customHeight="false" outlineLevel="0" collapsed="false">
      <c r="A15" s="10" t="s">
        <v>79</v>
      </c>
      <c r="B15" s="17" t="n">
        <f aca="false">INDEX(LINEST(Data!$F$7:$F$47,Data!$G$7:$H$47,TRUE(),TRUE()),3,2)</f>
        <v>7.1201536979626</v>
      </c>
    </row>
    <row r="16" customFormat="false" ht="15" hidden="false" customHeight="false" outlineLevel="0" collapsed="false">
      <c r="A16" s="10" t="s">
        <v>80</v>
      </c>
      <c r="B16" s="18" t="n">
        <f aca="false">COUNT(Data!$F$7:$F$47)</f>
        <v>41</v>
      </c>
    </row>
    <row r="17" customFormat="false" ht="15" hidden="false" customHeight="false" outlineLevel="0" collapsed="false">
      <c r="A17" s="10" t="s">
        <v>81</v>
      </c>
      <c r="B17" s="18" t="n">
        <f aca="false">INDEX(LINEST(Data!$F$7:$F$47,Data!$G$7:$H$47,TRUE(),TRUE()),4,2)</f>
        <v>38</v>
      </c>
    </row>
    <row r="19" customFormat="false" ht="15" hidden="false" customHeight="false" outlineLevel="0" collapsed="false">
      <c r="A19" s="19" t="s">
        <v>82</v>
      </c>
    </row>
    <row r="20" customFormat="false" ht="15" hidden="false" customHeight="false" outlineLevel="0" collapsed="false">
      <c r="A20" s="5" t="s">
        <v>83</v>
      </c>
    </row>
    <row r="21" customFormat="false" ht="15" hidden="false" customHeight="false" outlineLevel="0" collapsed="false">
      <c r="A21" s="5" t="s">
        <v>84</v>
      </c>
    </row>
    <row r="22" customFormat="false" ht="15" hidden="false" customHeight="false" outlineLevel="0" collapsed="false">
      <c r="A22" s="5" t="s">
        <v>85</v>
      </c>
    </row>
    <row r="23" customFormat="false" ht="15" hidden="false" customHeight="false" outlineLevel="0" collapsed="false">
      <c r="A23" s="5" t="s">
        <v>86</v>
      </c>
    </row>
    <row r="24" customFormat="false" ht="15" hidden="false" customHeight="false" outlineLevel="0" collapsed="false">
      <c r="A24" s="5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18"/>
    <col collapsed="false" customWidth="true" hidden="false" outlineLevel="0" max="7" min="7" style="0" width="20"/>
  </cols>
  <sheetData>
    <row r="1" customFormat="false" ht="17.35" hidden="false" customHeight="false" outlineLevel="0" collapsed="false">
      <c r="A1" s="1" t="s">
        <v>88</v>
      </c>
    </row>
    <row r="3" customFormat="false" ht="15" hidden="false" customHeight="false" outlineLevel="0" collapsed="false">
      <c r="A3" s="4" t="s">
        <v>89</v>
      </c>
      <c r="B3" s="4" t="s">
        <v>30</v>
      </c>
      <c r="C3" s="4" t="s">
        <v>90</v>
      </c>
    </row>
    <row r="4" customFormat="false" ht="15" hidden="false" customHeight="false" outlineLevel="0" collapsed="false">
      <c r="A4" s="10" t="s">
        <v>91</v>
      </c>
      <c r="B4" s="15" t="n">
        <f aca="false">Data!B47</f>
        <v>46.79</v>
      </c>
      <c r="C4" s="10" t="s">
        <v>92</v>
      </c>
    </row>
    <row r="5" customFormat="false" ht="15" hidden="false" customHeight="false" outlineLevel="0" collapsed="false">
      <c r="A5" s="10" t="s">
        <v>93</v>
      </c>
      <c r="B5" s="20" t="n">
        <f aca="false">Data!E47</f>
        <v>0.0875</v>
      </c>
      <c r="C5" s="10" t="s">
        <v>94</v>
      </c>
    </row>
    <row r="6" customFormat="false" ht="15" hidden="false" customHeight="false" outlineLevel="0" collapsed="false">
      <c r="A6" s="10" t="s">
        <v>95</v>
      </c>
      <c r="B6" s="21" t="n">
        <f aca="false">Data!D47</f>
        <v>129.8229</v>
      </c>
      <c r="C6" s="10" t="s">
        <v>94</v>
      </c>
    </row>
    <row r="7" customFormat="false" ht="15" hidden="false" customHeight="false" outlineLevel="0" collapsed="false">
      <c r="A7" s="10" t="s">
        <v>96</v>
      </c>
      <c r="B7" s="21" t="n">
        <f aca="false">Regression!B6</f>
        <v>2.14790408288967</v>
      </c>
      <c r="C7" s="10" t="s">
        <v>97</v>
      </c>
    </row>
    <row r="8" customFormat="false" ht="15" hidden="false" customHeight="false" outlineLevel="0" collapsed="false">
      <c r="A8" s="10" t="s">
        <v>98</v>
      </c>
      <c r="B8" s="21" t="n">
        <f aca="false">Regression!B7</f>
        <v>-1.07169389373009</v>
      </c>
      <c r="C8" s="10" t="s">
        <v>97</v>
      </c>
    </row>
    <row r="9" customFormat="false" ht="15" hidden="false" customHeight="false" outlineLevel="0" collapsed="false">
      <c r="A9" s="10" t="s">
        <v>99</v>
      </c>
      <c r="B9" s="21" t="n">
        <f aca="false">Regression!B8</f>
        <v>-0.397519931047861</v>
      </c>
      <c r="C9" s="10" t="s">
        <v>97</v>
      </c>
    </row>
    <row r="10" customFormat="false" ht="15" hidden="false" customHeight="false" outlineLevel="0" collapsed="false">
      <c r="A10" s="10" t="s">
        <v>100</v>
      </c>
      <c r="B10" s="21" t="n">
        <f aca="false">Regression!F6</f>
        <v>-0.110027606409585</v>
      </c>
      <c r="C10" s="10" t="s">
        <v>97</v>
      </c>
    </row>
    <row r="11" customFormat="false" ht="15" hidden="false" customHeight="false" outlineLevel="0" collapsed="false">
      <c r="A11" s="10" t="s">
        <v>101</v>
      </c>
      <c r="B11" s="22" t="n">
        <v>0.5</v>
      </c>
      <c r="C11" s="10" t="s">
        <v>102</v>
      </c>
    </row>
    <row r="12" customFormat="false" ht="15" hidden="false" customHeight="false" outlineLevel="0" collapsed="false">
      <c r="A12" s="10" t="s">
        <v>103</v>
      </c>
      <c r="B12" s="22" t="n">
        <v>1</v>
      </c>
      <c r="C12" s="10" t="s">
        <v>104</v>
      </c>
    </row>
    <row r="13" customFormat="false" ht="15" hidden="false" customHeight="false" outlineLevel="0" collapsed="false">
      <c r="A13" s="10" t="s">
        <v>105</v>
      </c>
      <c r="B13" s="13" t="n">
        <f aca="false">B11*B7</f>
        <v>1.07395204144484</v>
      </c>
      <c r="C13" s="10" t="s">
        <v>106</v>
      </c>
    </row>
    <row r="14" customFormat="false" ht="15" hidden="false" customHeight="false" outlineLevel="0" collapsed="false">
      <c r="A14" s="10" t="s">
        <v>107</v>
      </c>
      <c r="B14" s="13" t="n">
        <f aca="false">B12*B7</f>
        <v>2.14790408288967</v>
      </c>
      <c r="C14" s="10" t="s">
        <v>106</v>
      </c>
    </row>
    <row r="15" customFormat="false" ht="15" hidden="false" customHeight="false" outlineLevel="0" collapsed="false">
      <c r="A15" s="10" t="s">
        <v>108</v>
      </c>
      <c r="B15" s="13" t="n">
        <f aca="false">B10</f>
        <v>-0.110027606409585</v>
      </c>
      <c r="C15" s="10" t="s">
        <v>100</v>
      </c>
    </row>
    <row r="18" customFormat="false" ht="15" hidden="false" customHeight="false" outlineLevel="0" collapsed="false">
      <c r="A18" s="19" t="s">
        <v>109</v>
      </c>
    </row>
    <row r="19" customFormat="false" ht="42" hidden="false" customHeight="true" outlineLevel="0" collapsed="false">
      <c r="A19" s="4" t="s">
        <v>17</v>
      </c>
      <c r="B19" s="4" t="s">
        <v>110</v>
      </c>
      <c r="C19" s="4" t="s">
        <v>111</v>
      </c>
      <c r="D19" s="4" t="s">
        <v>21</v>
      </c>
      <c r="E19" s="4" t="s">
        <v>112</v>
      </c>
      <c r="F19" s="4" t="s">
        <v>113</v>
      </c>
      <c r="G19" s="4" t="s">
        <v>114</v>
      </c>
    </row>
    <row r="20" customFormat="false" ht="15" hidden="false" customHeight="false" outlineLevel="0" collapsed="false">
      <c r="A20" s="23" t="n">
        <v>46388</v>
      </c>
      <c r="B20" s="24" t="n">
        <v>0</v>
      </c>
      <c r="C20" s="24" t="n">
        <v>0</v>
      </c>
      <c r="D20" s="25" t="n">
        <f aca="false">$B$5+B20/100</f>
        <v>0.0875</v>
      </c>
      <c r="E20" s="12" t="n">
        <f aca="false">$B$6*(1+C20/100)</f>
        <v>129.8229</v>
      </c>
      <c r="F20" s="12" t="n">
        <f aca="false">$B$13+$B$8*B20+$B$9*C20</f>
        <v>1.07395204144484</v>
      </c>
      <c r="G20" s="12" t="n">
        <f aca="false">$B$4*(1+F20/100)</f>
        <v>47.292502160192</v>
      </c>
    </row>
    <row r="21" customFormat="false" ht="15" hidden="false" customHeight="false" outlineLevel="0" collapsed="false">
      <c r="A21" s="23" t="n">
        <v>46419</v>
      </c>
      <c r="B21" s="24" t="n">
        <v>0</v>
      </c>
      <c r="C21" s="24" t="n">
        <v>0</v>
      </c>
      <c r="D21" s="25" t="n">
        <f aca="false">D20+B21/100</f>
        <v>0.0875</v>
      </c>
      <c r="E21" s="12" t="n">
        <f aca="false">E20*(1+C21/100)</f>
        <v>129.8229</v>
      </c>
      <c r="F21" s="12" t="n">
        <f aca="false">$B$13+$B$8*B21+$B$9*C21</f>
        <v>1.07395204144484</v>
      </c>
      <c r="G21" s="12" t="n">
        <f aca="false">G20*(1+F21/100)</f>
        <v>47.8004009525918</v>
      </c>
    </row>
    <row r="22" customFormat="false" ht="15" hidden="false" customHeight="false" outlineLevel="0" collapsed="false">
      <c r="A22" s="23" t="n">
        <v>46447</v>
      </c>
      <c r="B22" s="24" t="n">
        <v>0</v>
      </c>
      <c r="C22" s="24" t="n">
        <v>0</v>
      </c>
      <c r="D22" s="25" t="n">
        <f aca="false">D21+B22/100</f>
        <v>0.0875</v>
      </c>
      <c r="E22" s="12" t="n">
        <f aca="false">E21*(1+C22/100)</f>
        <v>129.8229</v>
      </c>
      <c r="F22" s="12" t="n">
        <f aca="false">$B$13+$B$8*B22+$B$9*C22</f>
        <v>1.07395204144484</v>
      </c>
      <c r="G22" s="12" t="n">
        <f aca="false">G21*(1+F22/100)</f>
        <v>48.3137543344409</v>
      </c>
    </row>
    <row r="23" customFormat="false" ht="15" hidden="false" customHeight="false" outlineLevel="0" collapsed="false">
      <c r="A23" s="23" t="n">
        <v>46478</v>
      </c>
      <c r="B23" s="24" t="n">
        <v>0</v>
      </c>
      <c r="C23" s="24" t="n">
        <v>0</v>
      </c>
      <c r="D23" s="25" t="n">
        <f aca="false">D22+B23/100</f>
        <v>0.0875</v>
      </c>
      <c r="E23" s="12" t="n">
        <f aca="false">E22*(1+C23/100)</f>
        <v>129.8229</v>
      </c>
      <c r="F23" s="12" t="n">
        <f aca="false">$B$13+$B$8*B23+$B$9*C23</f>
        <v>1.07395204144484</v>
      </c>
      <c r="G23" s="12" t="n">
        <f aca="false">G22*(1+F23/100)</f>
        <v>48.8326208854143</v>
      </c>
    </row>
    <row r="24" customFormat="false" ht="15" hidden="false" customHeight="false" outlineLevel="0" collapsed="false">
      <c r="A24" s="23" t="n">
        <v>46508</v>
      </c>
      <c r="B24" s="24" t="n">
        <v>0</v>
      </c>
      <c r="C24" s="24" t="n">
        <v>0</v>
      </c>
      <c r="D24" s="25" t="n">
        <f aca="false">D23+B24/100</f>
        <v>0.0875</v>
      </c>
      <c r="E24" s="12" t="n">
        <f aca="false">E23*(1+C24/100)</f>
        <v>129.8229</v>
      </c>
      <c r="F24" s="12" t="n">
        <f aca="false">$B$13+$B$8*B24+$B$9*C24</f>
        <v>1.07395204144484</v>
      </c>
      <c r="G24" s="12" t="n">
        <f aca="false">G23*(1+F24/100)</f>
        <v>49.3570598143042</v>
      </c>
    </row>
    <row r="25" customFormat="false" ht="15" hidden="false" customHeight="false" outlineLevel="0" collapsed="false">
      <c r="A25" s="23" t="n">
        <v>46539</v>
      </c>
      <c r="B25" s="24" t="n">
        <v>0</v>
      </c>
      <c r="C25" s="24" t="n">
        <v>0</v>
      </c>
      <c r="D25" s="25" t="n">
        <f aca="false">D24+B25/100</f>
        <v>0.0875</v>
      </c>
      <c r="E25" s="12" t="n">
        <f aca="false">E24*(1+C25/100)</f>
        <v>129.8229</v>
      </c>
      <c r="F25" s="12" t="n">
        <f aca="false">$B$13+$B$8*B25+$B$9*C25</f>
        <v>1.07395204144484</v>
      </c>
      <c r="G25" s="12" t="n">
        <f aca="false">G24*(1+F25/100)</f>
        <v>49.8871309657771</v>
      </c>
    </row>
    <row r="26" customFormat="false" ht="15" hidden="false" customHeight="false" outlineLevel="0" collapsed="false">
      <c r="A26" s="23" t="n">
        <v>46569</v>
      </c>
      <c r="B26" s="24" t="n">
        <v>0</v>
      </c>
      <c r="C26" s="24" t="n">
        <v>0</v>
      </c>
      <c r="D26" s="25" t="n">
        <f aca="false">D25+B26/100</f>
        <v>0.0875</v>
      </c>
      <c r="E26" s="12" t="n">
        <f aca="false">E25*(1+C26/100)</f>
        <v>129.8229</v>
      </c>
      <c r="F26" s="12" t="n">
        <f aca="false">$B$13+$B$8*B26+$B$9*C26</f>
        <v>1.07395204144484</v>
      </c>
      <c r="G26" s="12" t="n">
        <f aca="false">G25*(1+F26/100)</f>
        <v>50.4228948272023</v>
      </c>
    </row>
    <row r="27" customFormat="false" ht="15" hidden="false" customHeight="false" outlineLevel="0" collapsed="false">
      <c r="A27" s="23" t="n">
        <v>46600</v>
      </c>
      <c r="B27" s="24" t="n">
        <v>0</v>
      </c>
      <c r="C27" s="24" t="n">
        <v>0</v>
      </c>
      <c r="D27" s="25" t="n">
        <f aca="false">D26+B27/100</f>
        <v>0.0875</v>
      </c>
      <c r="E27" s="12" t="n">
        <f aca="false">E26*(1+C27/100)</f>
        <v>129.8229</v>
      </c>
      <c r="F27" s="12" t="n">
        <f aca="false">$B$13+$B$8*B27+$B$9*C27</f>
        <v>1.07395204144484</v>
      </c>
      <c r="G27" s="12" t="n">
        <f aca="false">G26*(1+F27/100)</f>
        <v>50.9644125355546</v>
      </c>
    </row>
    <row r="28" customFormat="false" ht="15" hidden="false" customHeight="false" outlineLevel="0" collapsed="false">
      <c r="A28" s="23" t="n">
        <v>46631</v>
      </c>
      <c r="B28" s="24" t="n">
        <v>0</v>
      </c>
      <c r="C28" s="24" t="n">
        <v>0</v>
      </c>
      <c r="D28" s="25" t="n">
        <f aca="false">D27+B28/100</f>
        <v>0.0875</v>
      </c>
      <c r="E28" s="12" t="n">
        <f aca="false">E27*(1+C28/100)</f>
        <v>129.8229</v>
      </c>
      <c r="F28" s="12" t="n">
        <f aca="false">$B$13+$B$8*B28+$B$9*C28</f>
        <v>1.07395204144484</v>
      </c>
      <c r="G28" s="12" t="n">
        <f aca="false">G27*(1+F28/100)</f>
        <v>51.5117458843906</v>
      </c>
    </row>
    <row r="29" customFormat="false" ht="15" hidden="false" customHeight="false" outlineLevel="0" collapsed="false">
      <c r="A29" s="23" t="n">
        <v>46661</v>
      </c>
      <c r="B29" s="24" t="n">
        <v>0</v>
      </c>
      <c r="C29" s="24" t="n">
        <v>0</v>
      </c>
      <c r="D29" s="25" t="n">
        <f aca="false">D28+B29/100</f>
        <v>0.0875</v>
      </c>
      <c r="E29" s="12" t="n">
        <f aca="false">E28*(1+C29/100)</f>
        <v>129.8229</v>
      </c>
      <c r="F29" s="12" t="n">
        <f aca="false">$B$13+$B$8*B29+$B$9*C29</f>
        <v>1.07395204144484</v>
      </c>
      <c r="G29" s="12" t="n">
        <f aca="false">G28*(1+F29/100)</f>
        <v>52.0649573308998</v>
      </c>
    </row>
    <row r="30" customFormat="false" ht="15" hidden="false" customHeight="false" outlineLevel="0" collapsed="false">
      <c r="A30" s="23" t="n">
        <v>46692</v>
      </c>
      <c r="B30" s="24" t="n">
        <v>0</v>
      </c>
      <c r="C30" s="24" t="n">
        <v>0</v>
      </c>
      <c r="D30" s="25" t="n">
        <f aca="false">D29+B30/100</f>
        <v>0.0875</v>
      </c>
      <c r="E30" s="12" t="n">
        <f aca="false">E29*(1+C30/100)</f>
        <v>129.8229</v>
      </c>
      <c r="F30" s="12" t="n">
        <f aca="false">$B$13+$B$8*B30+$B$9*C30</f>
        <v>1.07395204144484</v>
      </c>
      <c r="G30" s="12" t="n">
        <f aca="false">G29*(1+F30/100)</f>
        <v>52.6241100030324</v>
      </c>
    </row>
    <row r="31" customFormat="false" ht="15" hidden="false" customHeight="false" outlineLevel="0" collapsed="false">
      <c r="A31" s="23" t="n">
        <v>46722</v>
      </c>
      <c r="B31" s="24" t="n">
        <v>0</v>
      </c>
      <c r="C31" s="24" t="n">
        <v>0</v>
      </c>
      <c r="D31" s="25" t="n">
        <f aca="false">D30+B31/100</f>
        <v>0.0875</v>
      </c>
      <c r="E31" s="12" t="n">
        <f aca="false">E30*(1+C31/100)</f>
        <v>129.8229</v>
      </c>
      <c r="F31" s="12" t="n">
        <f aca="false">$B$13+$B$8*B31+$B$9*C31</f>
        <v>1.07395204144484</v>
      </c>
      <c r="G31" s="12" t="n">
        <f aca="false">G30*(1+F31/100)</f>
        <v>53.1892677067022</v>
      </c>
    </row>
    <row r="33" customFormat="false" ht="15" hidden="false" customHeight="false" outlineLevel="0" collapsed="false">
      <c r="A33" s="19" t="s">
        <v>115</v>
      </c>
    </row>
    <row r="34" customFormat="false" ht="42" hidden="false" customHeight="true" outlineLevel="0" collapsed="false">
      <c r="A34" s="4" t="s">
        <v>17</v>
      </c>
      <c r="B34" s="4" t="s">
        <v>110</v>
      </c>
      <c r="C34" s="4" t="s">
        <v>111</v>
      </c>
      <c r="D34" s="4" t="s">
        <v>21</v>
      </c>
      <c r="E34" s="4" t="s">
        <v>112</v>
      </c>
      <c r="F34" s="4" t="s">
        <v>113</v>
      </c>
      <c r="G34" s="4" t="s">
        <v>114</v>
      </c>
    </row>
    <row r="35" customFormat="false" ht="15" hidden="false" customHeight="false" outlineLevel="0" collapsed="false">
      <c r="A35" s="23" t="n">
        <v>46388</v>
      </c>
      <c r="B35" s="24" t="n">
        <v>0</v>
      </c>
      <c r="C35" s="24" t="n">
        <v>0</v>
      </c>
      <c r="D35" s="25" t="n">
        <f aca="false">$B$5+B35/100</f>
        <v>0.0875</v>
      </c>
      <c r="E35" s="12" t="n">
        <f aca="false">$B$6*(1+C35/100)</f>
        <v>129.8229</v>
      </c>
      <c r="F35" s="12" t="n">
        <f aca="false">$B$14+$B$8*B35+$B$9*C35</f>
        <v>2.14790408288967</v>
      </c>
      <c r="G35" s="12" t="n">
        <f aca="false">$B$4*(1+F35/100)</f>
        <v>47.7950043203841</v>
      </c>
    </row>
    <row r="36" customFormat="false" ht="15" hidden="false" customHeight="false" outlineLevel="0" collapsed="false">
      <c r="A36" s="23" t="n">
        <v>46419</v>
      </c>
      <c r="B36" s="24" t="n">
        <v>0</v>
      </c>
      <c r="C36" s="24" t="n">
        <v>0</v>
      </c>
      <c r="D36" s="25" t="n">
        <f aca="false">D35+B36/100</f>
        <v>0.0875</v>
      </c>
      <c r="E36" s="12" t="n">
        <f aca="false">E35*(1+C36/100)</f>
        <v>129.8229</v>
      </c>
      <c r="F36" s="12" t="n">
        <f aca="false">$B$14+$B$8*B36+$B$9*C36</f>
        <v>2.14790408288967</v>
      </c>
      <c r="G36" s="12" t="n">
        <f aca="false">G35*(1+F36/100)</f>
        <v>48.8215951695989</v>
      </c>
    </row>
    <row r="37" customFormat="false" ht="15" hidden="false" customHeight="false" outlineLevel="0" collapsed="false">
      <c r="A37" s="23" t="n">
        <v>46447</v>
      </c>
      <c r="B37" s="24" t="n">
        <v>-0.25</v>
      </c>
      <c r="C37" s="24" t="n">
        <v>0</v>
      </c>
      <c r="D37" s="25" t="n">
        <f aca="false">D36+B37/100</f>
        <v>0.085</v>
      </c>
      <c r="E37" s="12" t="n">
        <f aca="false">E36*(1+C37/100)</f>
        <v>129.8229</v>
      </c>
      <c r="F37" s="12" t="n">
        <f aca="false">$B$14+$B$8*B37+$B$9*C37</f>
        <v>2.41582755632219</v>
      </c>
      <c r="G37" s="12" t="n">
        <f aca="false">G36*(1+F37/100)</f>
        <v>50.0010407191421</v>
      </c>
    </row>
    <row r="38" customFormat="false" ht="15" hidden="false" customHeight="false" outlineLevel="0" collapsed="false">
      <c r="A38" s="23" t="n">
        <v>46478</v>
      </c>
      <c r="B38" s="24" t="n">
        <v>0</v>
      </c>
      <c r="C38" s="24" t="n">
        <v>0</v>
      </c>
      <c r="D38" s="25" t="n">
        <f aca="false">D37+B38/100</f>
        <v>0.085</v>
      </c>
      <c r="E38" s="12" t="n">
        <f aca="false">E37*(1+C38/100)</f>
        <v>129.8229</v>
      </c>
      <c r="F38" s="12" t="n">
        <f aca="false">$B$14+$B$8*B38+$B$9*C38</f>
        <v>2.14790408288967</v>
      </c>
      <c r="G38" s="12" t="n">
        <f aca="false">G37*(1+F38/100)</f>
        <v>51.0750151142359</v>
      </c>
    </row>
    <row r="39" customFormat="false" ht="15" hidden="false" customHeight="false" outlineLevel="0" collapsed="false">
      <c r="A39" s="23" t="n">
        <v>46508</v>
      </c>
      <c r="B39" s="24" t="n">
        <v>0</v>
      </c>
      <c r="C39" s="24" t="n">
        <v>0</v>
      </c>
      <c r="D39" s="25" t="n">
        <f aca="false">D38+B39/100</f>
        <v>0.085</v>
      </c>
      <c r="E39" s="12" t="n">
        <f aca="false">E38*(1+C39/100)</f>
        <v>129.8229</v>
      </c>
      <c r="F39" s="12" t="n">
        <f aca="false">$B$14+$B$8*B39+$B$9*C39</f>
        <v>2.14790408288967</v>
      </c>
      <c r="G39" s="12" t="n">
        <f aca="false">G38*(1+F39/100)</f>
        <v>52.1720574492111</v>
      </c>
    </row>
    <row r="40" customFormat="false" ht="15" hidden="false" customHeight="false" outlineLevel="0" collapsed="false">
      <c r="A40" s="23" t="n">
        <v>46539</v>
      </c>
      <c r="B40" s="24" t="n">
        <v>-0.25</v>
      </c>
      <c r="C40" s="24" t="n">
        <v>0</v>
      </c>
      <c r="D40" s="25" t="n">
        <f aca="false">D39+B40/100</f>
        <v>0.0825</v>
      </c>
      <c r="E40" s="12" t="n">
        <f aca="false">E39*(1+C40/100)</f>
        <v>129.8229</v>
      </c>
      <c r="F40" s="12" t="n">
        <f aca="false">$B$14+$B$8*B40+$B$9*C40</f>
        <v>2.41582755632219</v>
      </c>
      <c r="G40" s="12" t="n">
        <f aca="false">G39*(1+F40/100)</f>
        <v>53.4324443897694</v>
      </c>
    </row>
    <row r="41" customFormat="false" ht="15" hidden="false" customHeight="false" outlineLevel="0" collapsed="false">
      <c r="A41" s="23" t="n">
        <v>46569</v>
      </c>
      <c r="B41" s="24" t="n">
        <v>0</v>
      </c>
      <c r="C41" s="24" t="n">
        <v>0</v>
      </c>
      <c r="D41" s="25" t="n">
        <f aca="false">D40+B41/100</f>
        <v>0.0825</v>
      </c>
      <c r="E41" s="12" t="n">
        <f aca="false">E40*(1+C41/100)</f>
        <v>129.8229</v>
      </c>
      <c r="F41" s="12" t="n">
        <f aca="false">$B$14+$B$8*B41+$B$9*C41</f>
        <v>2.14790408288967</v>
      </c>
      <c r="G41" s="12" t="n">
        <f aca="false">G40*(1+F41/100)</f>
        <v>54.580122044405</v>
      </c>
    </row>
    <row r="42" customFormat="false" ht="15" hidden="false" customHeight="false" outlineLevel="0" collapsed="false">
      <c r="A42" s="23" t="n">
        <v>46600</v>
      </c>
      <c r="B42" s="24" t="n">
        <v>0</v>
      </c>
      <c r="C42" s="24" t="n">
        <v>0</v>
      </c>
      <c r="D42" s="25" t="n">
        <f aca="false">D41+B42/100</f>
        <v>0.0825</v>
      </c>
      <c r="E42" s="12" t="n">
        <f aca="false">E41*(1+C42/100)</f>
        <v>129.8229</v>
      </c>
      <c r="F42" s="12" t="n">
        <f aca="false">$B$14+$B$8*B42+$B$9*C42</f>
        <v>2.14790408288967</v>
      </c>
      <c r="G42" s="12" t="n">
        <f aca="false">G41*(1+F42/100)</f>
        <v>55.752450714243</v>
      </c>
    </row>
    <row r="43" customFormat="false" ht="15" hidden="false" customHeight="false" outlineLevel="0" collapsed="false">
      <c r="A43" s="23" t="n">
        <v>46631</v>
      </c>
      <c r="B43" s="24" t="n">
        <v>-0.25</v>
      </c>
      <c r="C43" s="24" t="n">
        <v>0</v>
      </c>
      <c r="D43" s="25" t="n">
        <f aca="false">D42+B43/100</f>
        <v>0.08</v>
      </c>
      <c r="E43" s="12" t="n">
        <f aca="false">E42*(1+C43/100)</f>
        <v>129.8229</v>
      </c>
      <c r="F43" s="12" t="n">
        <f aca="false">$B$14+$B$8*B43+$B$9*C43</f>
        <v>2.41582755632219</v>
      </c>
      <c r="G43" s="12" t="n">
        <f aca="false">G42*(1+F43/100)</f>
        <v>57.0993337819226</v>
      </c>
    </row>
    <row r="44" customFormat="false" ht="15" hidden="false" customHeight="false" outlineLevel="0" collapsed="false">
      <c r="A44" s="23" t="n">
        <v>46661</v>
      </c>
      <c r="B44" s="24" t="n">
        <v>0</v>
      </c>
      <c r="C44" s="24" t="n">
        <v>0</v>
      </c>
      <c r="D44" s="25" t="n">
        <f aca="false">D43+B44/100</f>
        <v>0.08</v>
      </c>
      <c r="E44" s="12" t="n">
        <f aca="false">E43*(1+C44/100)</f>
        <v>129.8229</v>
      </c>
      <c r="F44" s="12" t="n">
        <f aca="false">$B$14+$B$8*B44+$B$9*C44</f>
        <v>2.14790408288967</v>
      </c>
      <c r="G44" s="12" t="n">
        <f aca="false">G43*(1+F44/100)</f>
        <v>58.3257727035273</v>
      </c>
    </row>
    <row r="45" customFormat="false" ht="15" hidden="false" customHeight="false" outlineLevel="0" collapsed="false">
      <c r="A45" s="23" t="n">
        <v>46692</v>
      </c>
      <c r="B45" s="24" t="n">
        <v>0</v>
      </c>
      <c r="C45" s="24" t="n">
        <v>0</v>
      </c>
      <c r="D45" s="25" t="n">
        <f aca="false">D44+B45/100</f>
        <v>0.08</v>
      </c>
      <c r="E45" s="12" t="n">
        <f aca="false">E44*(1+C45/100)</f>
        <v>129.8229</v>
      </c>
      <c r="F45" s="12" t="n">
        <f aca="false">$B$14+$B$8*B45+$B$9*C45</f>
        <v>2.14790408288967</v>
      </c>
      <c r="G45" s="12" t="n">
        <f aca="false">G44*(1+F45/100)</f>
        <v>59.5785543568033</v>
      </c>
    </row>
    <row r="46" customFormat="false" ht="15" hidden="false" customHeight="false" outlineLevel="0" collapsed="false">
      <c r="A46" s="23" t="n">
        <v>46722</v>
      </c>
      <c r="B46" s="24" t="n">
        <v>0</v>
      </c>
      <c r="C46" s="24" t="n">
        <v>0</v>
      </c>
      <c r="D46" s="25" t="n">
        <f aca="false">D45+B46/100</f>
        <v>0.08</v>
      </c>
      <c r="E46" s="12" t="n">
        <f aca="false">E45*(1+C46/100)</f>
        <v>129.8229</v>
      </c>
      <c r="F46" s="12" t="n">
        <f aca="false">$B$14+$B$8*B46+$B$9*C46</f>
        <v>2.14790408288967</v>
      </c>
      <c r="G46" s="12" t="n">
        <f aca="false">G45*(1+F46/100)</f>
        <v>60.8582445583597</v>
      </c>
    </row>
    <row r="48" customFormat="false" ht="15" hidden="false" customHeight="false" outlineLevel="0" collapsed="false">
      <c r="A48" s="19" t="s">
        <v>116</v>
      </c>
    </row>
    <row r="49" customFormat="false" ht="42" hidden="false" customHeight="true" outlineLevel="0" collapsed="false">
      <c r="A49" s="4" t="s">
        <v>17</v>
      </c>
      <c r="B49" s="4" t="s">
        <v>110</v>
      </c>
      <c r="C49" s="4" t="s">
        <v>111</v>
      </c>
      <c r="D49" s="4" t="s">
        <v>21</v>
      </c>
      <c r="E49" s="4" t="s">
        <v>112</v>
      </c>
      <c r="F49" s="4" t="s">
        <v>113</v>
      </c>
      <c r="G49" s="4" t="s">
        <v>114</v>
      </c>
    </row>
    <row r="50" customFormat="false" ht="15" hidden="false" customHeight="false" outlineLevel="0" collapsed="false">
      <c r="A50" s="23" t="n">
        <v>46388</v>
      </c>
      <c r="B50" s="24" t="n">
        <v>0</v>
      </c>
      <c r="C50" s="24" t="n">
        <v>0.5</v>
      </c>
      <c r="D50" s="25" t="n">
        <f aca="false">$B$5+B50/100</f>
        <v>0.0875</v>
      </c>
      <c r="E50" s="12" t="n">
        <f aca="false">$B$6*(1+C50/100)</f>
        <v>130.4720145</v>
      </c>
      <c r="F50" s="12" t="n">
        <f aca="false">$B$15+$B$8*B50+$B$9*C50</f>
        <v>-0.308787571933515</v>
      </c>
      <c r="G50" s="12" t="n">
        <f aca="false">$B$4*(1+F50/100)</f>
        <v>46.6455182950923</v>
      </c>
    </row>
    <row r="51" customFormat="false" ht="15" hidden="false" customHeight="false" outlineLevel="0" collapsed="false">
      <c r="A51" s="23" t="n">
        <v>46419</v>
      </c>
      <c r="B51" s="24" t="n">
        <v>0.25</v>
      </c>
      <c r="C51" s="24" t="n">
        <v>0.5</v>
      </c>
      <c r="D51" s="25" t="n">
        <f aca="false">D50+B51/100</f>
        <v>0.09</v>
      </c>
      <c r="E51" s="12" t="n">
        <f aca="false">E50*(1+C51/100)</f>
        <v>131.1243745725</v>
      </c>
      <c r="F51" s="12" t="n">
        <f aca="false">$B$15+$B$8*B51+$B$9*C51</f>
        <v>-0.576711045366038</v>
      </c>
      <c r="G51" s="12" t="n">
        <f aca="false">G50*(1+F51/100)</f>
        <v>46.3765084389163</v>
      </c>
    </row>
    <row r="52" customFormat="false" ht="15" hidden="false" customHeight="false" outlineLevel="0" collapsed="false">
      <c r="A52" s="23" t="n">
        <v>46447</v>
      </c>
      <c r="B52" s="24" t="n">
        <v>0</v>
      </c>
      <c r="C52" s="24" t="n">
        <v>0.5</v>
      </c>
      <c r="D52" s="25" t="n">
        <f aca="false">D51+B52/100</f>
        <v>0.09</v>
      </c>
      <c r="E52" s="12" t="n">
        <f aca="false">E51*(1+C52/100)</f>
        <v>131.779996445362</v>
      </c>
      <c r="F52" s="12" t="n">
        <f aca="false">$B$15+$B$8*B52+$B$9*C52</f>
        <v>-0.308787571933515</v>
      </c>
      <c r="G52" s="12" t="n">
        <f aca="false">G51*(1+F52/100)</f>
        <v>46.2333035445602</v>
      </c>
    </row>
    <row r="53" customFormat="false" ht="15" hidden="false" customHeight="false" outlineLevel="0" collapsed="false">
      <c r="A53" s="23" t="n">
        <v>46478</v>
      </c>
      <c r="B53" s="24" t="n">
        <v>0</v>
      </c>
      <c r="C53" s="24" t="n">
        <v>0.5</v>
      </c>
      <c r="D53" s="25" t="n">
        <f aca="false">D52+B53/100</f>
        <v>0.09</v>
      </c>
      <c r="E53" s="12" t="n">
        <f aca="false">E52*(1+C53/100)</f>
        <v>132.438896427589</v>
      </c>
      <c r="F53" s="12" t="n">
        <f aca="false">$B$15+$B$8*B53+$B$9*C53</f>
        <v>-0.308787571933515</v>
      </c>
      <c r="G53" s="12" t="n">
        <f aca="false">G52*(1+F53/100)</f>
        <v>46.0905408491203</v>
      </c>
    </row>
    <row r="54" customFormat="false" ht="15" hidden="false" customHeight="false" outlineLevel="0" collapsed="false">
      <c r="A54" s="23" t="n">
        <v>46508</v>
      </c>
      <c r="B54" s="24" t="n">
        <v>0.25</v>
      </c>
      <c r="C54" s="24" t="n">
        <v>0.5</v>
      </c>
      <c r="D54" s="25" t="n">
        <f aca="false">D53+B54/100</f>
        <v>0.0925</v>
      </c>
      <c r="E54" s="12" t="n">
        <f aca="false">E53*(1+C54/100)</f>
        <v>133.101090909727</v>
      </c>
      <c r="F54" s="12" t="n">
        <f aca="false">$B$15+$B$8*B54+$B$9*C54</f>
        <v>-0.576711045366038</v>
      </c>
      <c r="G54" s="12" t="n">
        <f aca="false">G53*(1+F54/100)</f>
        <v>45.8247316091745</v>
      </c>
    </row>
    <row r="55" customFormat="false" ht="15" hidden="false" customHeight="false" outlineLevel="0" collapsed="false">
      <c r="A55" s="23" t="n">
        <v>46539</v>
      </c>
      <c r="B55" s="24" t="n">
        <v>0</v>
      </c>
      <c r="C55" s="24" t="n">
        <v>0.5</v>
      </c>
      <c r="D55" s="25" t="n">
        <f aca="false">D54+B55/100</f>
        <v>0.0925</v>
      </c>
      <c r="E55" s="12" t="n">
        <f aca="false">E54*(1+C55/100)</f>
        <v>133.766596364276</v>
      </c>
      <c r="F55" s="12" t="n">
        <f aca="false">$B$15+$B$8*B55+$B$9*C55</f>
        <v>-0.308787571933515</v>
      </c>
      <c r="G55" s="12" t="n">
        <f aca="false">G54*(1+F55/100)</f>
        <v>45.6832305330935</v>
      </c>
    </row>
    <row r="56" customFormat="false" ht="15" hidden="false" customHeight="false" outlineLevel="0" collapsed="false">
      <c r="A56" s="23" t="n">
        <v>46569</v>
      </c>
      <c r="B56" s="24" t="n">
        <v>0</v>
      </c>
      <c r="C56" s="24" t="n">
        <v>0.5</v>
      </c>
      <c r="D56" s="25" t="n">
        <f aca="false">D55+B56/100</f>
        <v>0.0925</v>
      </c>
      <c r="E56" s="12" t="n">
        <f aca="false">E55*(1+C56/100)</f>
        <v>134.435429346097</v>
      </c>
      <c r="F56" s="12" t="n">
        <f aca="false">$B$15+$B$8*B56+$B$9*C56</f>
        <v>-0.308787571933515</v>
      </c>
      <c r="G56" s="12" t="n">
        <f aca="false">G55*(1+F56/100)</f>
        <v>45.5421663947495</v>
      </c>
    </row>
    <row r="57" customFormat="false" ht="15" hidden="false" customHeight="false" outlineLevel="0" collapsed="false">
      <c r="A57" s="23" t="n">
        <v>46600</v>
      </c>
      <c r="B57" s="24" t="n">
        <v>0</v>
      </c>
      <c r="C57" s="24" t="n">
        <v>0.5</v>
      </c>
      <c r="D57" s="25" t="n">
        <f aca="false">D56+B57/100</f>
        <v>0.0925</v>
      </c>
      <c r="E57" s="12" t="n">
        <f aca="false">E56*(1+C57/100)</f>
        <v>135.107606492828</v>
      </c>
      <c r="F57" s="12" t="n">
        <f aca="false">$B$15+$B$8*B57+$B$9*C57</f>
        <v>-0.308787571933515</v>
      </c>
      <c r="G57" s="12" t="n">
        <f aca="false">G56*(1+F57/100)</f>
        <v>45.4015378449333</v>
      </c>
    </row>
    <row r="58" customFormat="false" ht="15" hidden="false" customHeight="false" outlineLevel="0" collapsed="false">
      <c r="A58" s="23" t="n">
        <v>46631</v>
      </c>
      <c r="B58" s="24" t="n">
        <v>0</v>
      </c>
      <c r="C58" s="24" t="n">
        <v>0.5</v>
      </c>
      <c r="D58" s="25" t="n">
        <f aca="false">D57+B58/100</f>
        <v>0.0925</v>
      </c>
      <c r="E58" s="12" t="n">
        <f aca="false">E57*(1+C58/100)</f>
        <v>135.783144525292</v>
      </c>
      <c r="F58" s="12" t="n">
        <f aca="false">$B$15+$B$8*B58+$B$9*C58</f>
        <v>-0.308787571933515</v>
      </c>
      <c r="G58" s="12" t="n">
        <f aca="false">G57*(1+F58/100)</f>
        <v>45.2613435386014</v>
      </c>
    </row>
    <row r="59" customFormat="false" ht="15" hidden="false" customHeight="false" outlineLevel="0" collapsed="false">
      <c r="A59" s="23" t="n">
        <v>46661</v>
      </c>
      <c r="B59" s="24" t="n">
        <v>0</v>
      </c>
      <c r="C59" s="24" t="n">
        <v>0.5</v>
      </c>
      <c r="D59" s="25" t="n">
        <f aca="false">D58+B59/100</f>
        <v>0.0925</v>
      </c>
      <c r="E59" s="12" t="n">
        <f aca="false">E58*(1+C59/100)</f>
        <v>136.462060247918</v>
      </c>
      <c r="F59" s="12" t="n">
        <f aca="false">$B$15+$B$8*B59+$B$9*C59</f>
        <v>-0.308787571933515</v>
      </c>
      <c r="G59" s="12" t="n">
        <f aca="false">G58*(1+F59/100)</f>
        <v>45.1215821348641</v>
      </c>
    </row>
    <row r="60" customFormat="false" ht="15" hidden="false" customHeight="false" outlineLevel="0" collapsed="false">
      <c r="A60" s="23" t="n">
        <v>46692</v>
      </c>
      <c r="B60" s="24" t="n">
        <v>0</v>
      </c>
      <c r="C60" s="24" t="n">
        <v>0.5</v>
      </c>
      <c r="D60" s="25" t="n">
        <f aca="false">D59+B60/100</f>
        <v>0.0925</v>
      </c>
      <c r="E60" s="12" t="n">
        <f aca="false">E59*(1+C60/100)</f>
        <v>137.144370549158</v>
      </c>
      <c r="F60" s="12" t="n">
        <f aca="false">$B$15+$B$8*B60+$B$9*C60</f>
        <v>-0.308787571933515</v>
      </c>
      <c r="G60" s="12" t="n">
        <f aca="false">G59*(1+F60/100)</f>
        <v>44.9822522969719</v>
      </c>
    </row>
    <row r="61" customFormat="false" ht="15" hidden="false" customHeight="false" outlineLevel="0" collapsed="false">
      <c r="A61" s="23" t="n">
        <v>46722</v>
      </c>
      <c r="B61" s="24" t="n">
        <v>0</v>
      </c>
      <c r="C61" s="24" t="n">
        <v>0.5</v>
      </c>
      <c r="D61" s="25" t="n">
        <f aca="false">D60+B61/100</f>
        <v>0.0925</v>
      </c>
      <c r="E61" s="12" t="n">
        <f aca="false">E60*(1+C61/100)</f>
        <v>137.830092401904</v>
      </c>
      <c r="F61" s="12" t="n">
        <f aca="false">$B$15+$B$8*B61+$B$9*C61</f>
        <v>-0.308787571933515</v>
      </c>
      <c r="G61" s="12" t="n">
        <f aca="false">G60*(1+F61/100)</f>
        <v>44.843352692303</v>
      </c>
    </row>
    <row r="63" customFormat="false" ht="15" hidden="false" customHeight="false" outlineLevel="0" collapsed="false">
      <c r="A63" s="5" t="s">
        <v>117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13" min="2" style="0" width="14"/>
  </cols>
  <sheetData>
    <row r="1" customFormat="false" ht="17.35" hidden="false" customHeight="false" outlineLevel="0" collapsed="false">
      <c r="A1" s="1" t="s">
        <v>118</v>
      </c>
    </row>
    <row r="3" customFormat="false" ht="42" hidden="false" customHeight="true" outlineLevel="0" collapsed="false">
      <c r="A3" s="4" t="s">
        <v>17</v>
      </c>
      <c r="B3" s="4" t="s">
        <v>119</v>
      </c>
      <c r="C3" s="4" t="s">
        <v>120</v>
      </c>
      <c r="D3" s="4" t="s">
        <v>121</v>
      </c>
      <c r="E3" s="4" t="s">
        <v>122</v>
      </c>
      <c r="F3" s="4" t="s">
        <v>123</v>
      </c>
      <c r="G3" s="4" t="s">
        <v>124</v>
      </c>
      <c r="H3" s="4" t="s">
        <v>125</v>
      </c>
      <c r="I3" s="4" t="s">
        <v>126</v>
      </c>
      <c r="J3" s="4" t="s">
        <v>127</v>
      </c>
      <c r="K3" s="4" t="s">
        <v>128</v>
      </c>
      <c r="L3" s="4" t="s">
        <v>129</v>
      </c>
      <c r="M3" s="4" t="s">
        <v>130</v>
      </c>
    </row>
    <row r="4" customFormat="false" ht="15" hidden="false" customHeight="false" outlineLevel="0" collapsed="false">
      <c r="A4" s="26" t="n">
        <f aca="false">Scenarios!A20</f>
        <v>46388</v>
      </c>
      <c r="B4" s="20" t="n">
        <f aca="false">Scenarios!D20</f>
        <v>0.0875</v>
      </c>
      <c r="C4" s="15" t="n">
        <f aca="false">Scenarios!E20</f>
        <v>129.8229</v>
      </c>
      <c r="D4" s="15" t="n">
        <f aca="false">Scenarios!F20</f>
        <v>1.07395204144484</v>
      </c>
      <c r="E4" s="15" t="n">
        <f aca="false">Scenarios!G20</f>
        <v>47.292502160192</v>
      </c>
      <c r="F4" s="20" t="n">
        <f aca="false">Scenarios!D35</f>
        <v>0.0875</v>
      </c>
      <c r="G4" s="15" t="n">
        <f aca="false">Scenarios!E35</f>
        <v>129.8229</v>
      </c>
      <c r="H4" s="15" t="n">
        <f aca="false">Scenarios!F35</f>
        <v>2.14790408288967</v>
      </c>
      <c r="I4" s="15" t="n">
        <f aca="false">Scenarios!G35</f>
        <v>47.7950043203841</v>
      </c>
      <c r="J4" s="20" t="n">
        <f aca="false">Scenarios!D50</f>
        <v>0.0875</v>
      </c>
      <c r="K4" s="15" t="n">
        <f aca="false">Scenarios!E50</f>
        <v>130.4720145</v>
      </c>
      <c r="L4" s="15" t="n">
        <f aca="false">Scenarios!F50</f>
        <v>-0.308787571933515</v>
      </c>
      <c r="M4" s="15" t="n">
        <f aca="false">Scenarios!G50</f>
        <v>46.6455182950923</v>
      </c>
    </row>
    <row r="5" customFormat="false" ht="15" hidden="false" customHeight="false" outlineLevel="0" collapsed="false">
      <c r="A5" s="26" t="n">
        <f aca="false">Scenarios!A21</f>
        <v>46419</v>
      </c>
      <c r="B5" s="20" t="n">
        <f aca="false">Scenarios!D21</f>
        <v>0.0875</v>
      </c>
      <c r="C5" s="15" t="n">
        <f aca="false">Scenarios!E21</f>
        <v>129.8229</v>
      </c>
      <c r="D5" s="15" t="n">
        <f aca="false">Scenarios!F21</f>
        <v>1.07395204144484</v>
      </c>
      <c r="E5" s="15" t="n">
        <f aca="false">Scenarios!G21</f>
        <v>47.8004009525918</v>
      </c>
      <c r="F5" s="20" t="n">
        <f aca="false">Scenarios!D36</f>
        <v>0.0875</v>
      </c>
      <c r="G5" s="15" t="n">
        <f aca="false">Scenarios!E36</f>
        <v>129.8229</v>
      </c>
      <c r="H5" s="15" t="n">
        <f aca="false">Scenarios!F36</f>
        <v>2.14790408288967</v>
      </c>
      <c r="I5" s="15" t="n">
        <f aca="false">Scenarios!G36</f>
        <v>48.8215951695989</v>
      </c>
      <c r="J5" s="20" t="n">
        <f aca="false">Scenarios!D51</f>
        <v>0.09</v>
      </c>
      <c r="K5" s="15" t="n">
        <f aca="false">Scenarios!E51</f>
        <v>131.1243745725</v>
      </c>
      <c r="L5" s="15" t="n">
        <f aca="false">Scenarios!F51</f>
        <v>-0.576711045366038</v>
      </c>
      <c r="M5" s="15" t="n">
        <f aca="false">Scenarios!G51</f>
        <v>46.3765084389163</v>
      </c>
    </row>
    <row r="6" customFormat="false" ht="15" hidden="false" customHeight="false" outlineLevel="0" collapsed="false">
      <c r="A6" s="26" t="n">
        <f aca="false">Scenarios!A22</f>
        <v>46447</v>
      </c>
      <c r="B6" s="20" t="n">
        <f aca="false">Scenarios!D22</f>
        <v>0.0875</v>
      </c>
      <c r="C6" s="15" t="n">
        <f aca="false">Scenarios!E22</f>
        <v>129.8229</v>
      </c>
      <c r="D6" s="15" t="n">
        <f aca="false">Scenarios!F22</f>
        <v>1.07395204144484</v>
      </c>
      <c r="E6" s="15" t="n">
        <f aca="false">Scenarios!G22</f>
        <v>48.3137543344409</v>
      </c>
      <c r="F6" s="20" t="n">
        <f aca="false">Scenarios!D37</f>
        <v>0.085</v>
      </c>
      <c r="G6" s="15" t="n">
        <f aca="false">Scenarios!E37</f>
        <v>129.8229</v>
      </c>
      <c r="H6" s="15" t="n">
        <f aca="false">Scenarios!F37</f>
        <v>2.41582755632219</v>
      </c>
      <c r="I6" s="15" t="n">
        <f aca="false">Scenarios!G37</f>
        <v>50.0010407191421</v>
      </c>
      <c r="J6" s="20" t="n">
        <f aca="false">Scenarios!D52</f>
        <v>0.09</v>
      </c>
      <c r="K6" s="15" t="n">
        <f aca="false">Scenarios!E52</f>
        <v>131.779996445362</v>
      </c>
      <c r="L6" s="15" t="n">
        <f aca="false">Scenarios!F52</f>
        <v>-0.308787571933515</v>
      </c>
      <c r="M6" s="15" t="n">
        <f aca="false">Scenarios!G52</f>
        <v>46.2333035445602</v>
      </c>
    </row>
    <row r="7" customFormat="false" ht="15" hidden="false" customHeight="false" outlineLevel="0" collapsed="false">
      <c r="A7" s="26" t="n">
        <f aca="false">Scenarios!A23</f>
        <v>46478</v>
      </c>
      <c r="B7" s="20" t="n">
        <f aca="false">Scenarios!D23</f>
        <v>0.0875</v>
      </c>
      <c r="C7" s="15" t="n">
        <f aca="false">Scenarios!E23</f>
        <v>129.8229</v>
      </c>
      <c r="D7" s="15" t="n">
        <f aca="false">Scenarios!F23</f>
        <v>1.07395204144484</v>
      </c>
      <c r="E7" s="15" t="n">
        <f aca="false">Scenarios!G23</f>
        <v>48.8326208854143</v>
      </c>
      <c r="F7" s="20" t="n">
        <f aca="false">Scenarios!D38</f>
        <v>0.085</v>
      </c>
      <c r="G7" s="15" t="n">
        <f aca="false">Scenarios!E38</f>
        <v>129.8229</v>
      </c>
      <c r="H7" s="15" t="n">
        <f aca="false">Scenarios!F38</f>
        <v>2.14790408288967</v>
      </c>
      <c r="I7" s="15" t="n">
        <f aca="false">Scenarios!G38</f>
        <v>51.0750151142359</v>
      </c>
      <c r="J7" s="20" t="n">
        <f aca="false">Scenarios!D53</f>
        <v>0.09</v>
      </c>
      <c r="K7" s="15" t="n">
        <f aca="false">Scenarios!E53</f>
        <v>132.438896427589</v>
      </c>
      <c r="L7" s="15" t="n">
        <f aca="false">Scenarios!F53</f>
        <v>-0.308787571933515</v>
      </c>
      <c r="M7" s="15" t="n">
        <f aca="false">Scenarios!G53</f>
        <v>46.0905408491203</v>
      </c>
    </row>
    <row r="8" customFormat="false" ht="15" hidden="false" customHeight="false" outlineLevel="0" collapsed="false">
      <c r="A8" s="26" t="n">
        <f aca="false">Scenarios!A24</f>
        <v>46508</v>
      </c>
      <c r="B8" s="20" t="n">
        <f aca="false">Scenarios!D24</f>
        <v>0.0875</v>
      </c>
      <c r="C8" s="15" t="n">
        <f aca="false">Scenarios!E24</f>
        <v>129.8229</v>
      </c>
      <c r="D8" s="15" t="n">
        <f aca="false">Scenarios!F24</f>
        <v>1.07395204144484</v>
      </c>
      <c r="E8" s="15" t="n">
        <f aca="false">Scenarios!G24</f>
        <v>49.3570598143042</v>
      </c>
      <c r="F8" s="20" t="n">
        <f aca="false">Scenarios!D39</f>
        <v>0.085</v>
      </c>
      <c r="G8" s="15" t="n">
        <f aca="false">Scenarios!E39</f>
        <v>129.8229</v>
      </c>
      <c r="H8" s="15" t="n">
        <f aca="false">Scenarios!F39</f>
        <v>2.14790408288967</v>
      </c>
      <c r="I8" s="15" t="n">
        <f aca="false">Scenarios!G39</f>
        <v>52.1720574492111</v>
      </c>
      <c r="J8" s="20" t="n">
        <f aca="false">Scenarios!D54</f>
        <v>0.0925</v>
      </c>
      <c r="K8" s="15" t="n">
        <f aca="false">Scenarios!E54</f>
        <v>133.101090909727</v>
      </c>
      <c r="L8" s="15" t="n">
        <f aca="false">Scenarios!F54</f>
        <v>-0.576711045366038</v>
      </c>
      <c r="M8" s="15" t="n">
        <f aca="false">Scenarios!G54</f>
        <v>45.8247316091745</v>
      </c>
    </row>
    <row r="9" customFormat="false" ht="15" hidden="false" customHeight="false" outlineLevel="0" collapsed="false">
      <c r="A9" s="26" t="n">
        <f aca="false">Scenarios!A25</f>
        <v>46539</v>
      </c>
      <c r="B9" s="20" t="n">
        <f aca="false">Scenarios!D25</f>
        <v>0.0875</v>
      </c>
      <c r="C9" s="15" t="n">
        <f aca="false">Scenarios!E25</f>
        <v>129.8229</v>
      </c>
      <c r="D9" s="15" t="n">
        <f aca="false">Scenarios!F25</f>
        <v>1.07395204144484</v>
      </c>
      <c r="E9" s="15" t="n">
        <f aca="false">Scenarios!G25</f>
        <v>49.8871309657771</v>
      </c>
      <c r="F9" s="20" t="n">
        <f aca="false">Scenarios!D40</f>
        <v>0.0825</v>
      </c>
      <c r="G9" s="15" t="n">
        <f aca="false">Scenarios!E40</f>
        <v>129.8229</v>
      </c>
      <c r="H9" s="15" t="n">
        <f aca="false">Scenarios!F40</f>
        <v>2.41582755632219</v>
      </c>
      <c r="I9" s="15" t="n">
        <f aca="false">Scenarios!G40</f>
        <v>53.4324443897694</v>
      </c>
      <c r="J9" s="20" t="n">
        <f aca="false">Scenarios!D55</f>
        <v>0.0925</v>
      </c>
      <c r="K9" s="15" t="n">
        <f aca="false">Scenarios!E55</f>
        <v>133.766596364276</v>
      </c>
      <c r="L9" s="15" t="n">
        <f aca="false">Scenarios!F55</f>
        <v>-0.308787571933515</v>
      </c>
      <c r="M9" s="15" t="n">
        <f aca="false">Scenarios!G55</f>
        <v>45.6832305330935</v>
      </c>
    </row>
    <row r="10" customFormat="false" ht="15" hidden="false" customHeight="false" outlineLevel="0" collapsed="false">
      <c r="A10" s="26" t="n">
        <f aca="false">Scenarios!A26</f>
        <v>46569</v>
      </c>
      <c r="B10" s="20" t="n">
        <f aca="false">Scenarios!D26</f>
        <v>0.0875</v>
      </c>
      <c r="C10" s="15" t="n">
        <f aca="false">Scenarios!E26</f>
        <v>129.8229</v>
      </c>
      <c r="D10" s="15" t="n">
        <f aca="false">Scenarios!F26</f>
        <v>1.07395204144484</v>
      </c>
      <c r="E10" s="15" t="n">
        <f aca="false">Scenarios!G26</f>
        <v>50.4228948272023</v>
      </c>
      <c r="F10" s="20" t="n">
        <f aca="false">Scenarios!D41</f>
        <v>0.0825</v>
      </c>
      <c r="G10" s="15" t="n">
        <f aca="false">Scenarios!E41</f>
        <v>129.8229</v>
      </c>
      <c r="H10" s="15" t="n">
        <f aca="false">Scenarios!F41</f>
        <v>2.14790408288967</v>
      </c>
      <c r="I10" s="15" t="n">
        <f aca="false">Scenarios!G41</f>
        <v>54.580122044405</v>
      </c>
      <c r="J10" s="20" t="n">
        <f aca="false">Scenarios!D56</f>
        <v>0.0925</v>
      </c>
      <c r="K10" s="15" t="n">
        <f aca="false">Scenarios!E56</f>
        <v>134.435429346097</v>
      </c>
      <c r="L10" s="15" t="n">
        <f aca="false">Scenarios!F56</f>
        <v>-0.308787571933515</v>
      </c>
      <c r="M10" s="15" t="n">
        <f aca="false">Scenarios!G56</f>
        <v>45.5421663947495</v>
      </c>
    </row>
    <row r="11" customFormat="false" ht="15" hidden="false" customHeight="false" outlineLevel="0" collapsed="false">
      <c r="A11" s="26" t="n">
        <f aca="false">Scenarios!A27</f>
        <v>46600</v>
      </c>
      <c r="B11" s="20" t="n">
        <f aca="false">Scenarios!D27</f>
        <v>0.0875</v>
      </c>
      <c r="C11" s="15" t="n">
        <f aca="false">Scenarios!E27</f>
        <v>129.8229</v>
      </c>
      <c r="D11" s="15" t="n">
        <f aca="false">Scenarios!F27</f>
        <v>1.07395204144484</v>
      </c>
      <c r="E11" s="15" t="n">
        <f aca="false">Scenarios!G27</f>
        <v>50.9644125355546</v>
      </c>
      <c r="F11" s="20" t="n">
        <f aca="false">Scenarios!D42</f>
        <v>0.0825</v>
      </c>
      <c r="G11" s="15" t="n">
        <f aca="false">Scenarios!E42</f>
        <v>129.8229</v>
      </c>
      <c r="H11" s="15" t="n">
        <f aca="false">Scenarios!F42</f>
        <v>2.14790408288967</v>
      </c>
      <c r="I11" s="15" t="n">
        <f aca="false">Scenarios!G42</f>
        <v>55.752450714243</v>
      </c>
      <c r="J11" s="20" t="n">
        <f aca="false">Scenarios!D57</f>
        <v>0.0925</v>
      </c>
      <c r="K11" s="15" t="n">
        <f aca="false">Scenarios!E57</f>
        <v>135.107606492828</v>
      </c>
      <c r="L11" s="15" t="n">
        <f aca="false">Scenarios!F57</f>
        <v>-0.308787571933515</v>
      </c>
      <c r="M11" s="15" t="n">
        <f aca="false">Scenarios!G57</f>
        <v>45.4015378449333</v>
      </c>
    </row>
    <row r="12" customFormat="false" ht="15" hidden="false" customHeight="false" outlineLevel="0" collapsed="false">
      <c r="A12" s="26" t="n">
        <f aca="false">Scenarios!A28</f>
        <v>46631</v>
      </c>
      <c r="B12" s="20" t="n">
        <f aca="false">Scenarios!D28</f>
        <v>0.0875</v>
      </c>
      <c r="C12" s="15" t="n">
        <f aca="false">Scenarios!E28</f>
        <v>129.8229</v>
      </c>
      <c r="D12" s="15" t="n">
        <f aca="false">Scenarios!F28</f>
        <v>1.07395204144484</v>
      </c>
      <c r="E12" s="15" t="n">
        <f aca="false">Scenarios!G28</f>
        <v>51.5117458843906</v>
      </c>
      <c r="F12" s="20" t="n">
        <f aca="false">Scenarios!D43</f>
        <v>0.08</v>
      </c>
      <c r="G12" s="15" t="n">
        <f aca="false">Scenarios!E43</f>
        <v>129.8229</v>
      </c>
      <c r="H12" s="15" t="n">
        <f aca="false">Scenarios!F43</f>
        <v>2.41582755632219</v>
      </c>
      <c r="I12" s="15" t="n">
        <f aca="false">Scenarios!G43</f>
        <v>57.0993337819226</v>
      </c>
      <c r="J12" s="20" t="n">
        <f aca="false">Scenarios!D58</f>
        <v>0.0925</v>
      </c>
      <c r="K12" s="15" t="n">
        <f aca="false">Scenarios!E58</f>
        <v>135.783144525292</v>
      </c>
      <c r="L12" s="15" t="n">
        <f aca="false">Scenarios!F58</f>
        <v>-0.308787571933515</v>
      </c>
      <c r="M12" s="15" t="n">
        <f aca="false">Scenarios!G58</f>
        <v>45.2613435386014</v>
      </c>
    </row>
    <row r="13" customFormat="false" ht="15" hidden="false" customHeight="false" outlineLevel="0" collapsed="false">
      <c r="A13" s="26" t="n">
        <f aca="false">Scenarios!A29</f>
        <v>46661</v>
      </c>
      <c r="B13" s="20" t="n">
        <f aca="false">Scenarios!D29</f>
        <v>0.0875</v>
      </c>
      <c r="C13" s="15" t="n">
        <f aca="false">Scenarios!E29</f>
        <v>129.8229</v>
      </c>
      <c r="D13" s="15" t="n">
        <f aca="false">Scenarios!F29</f>
        <v>1.07395204144484</v>
      </c>
      <c r="E13" s="15" t="n">
        <f aca="false">Scenarios!G29</f>
        <v>52.0649573308998</v>
      </c>
      <c r="F13" s="20" t="n">
        <f aca="false">Scenarios!D44</f>
        <v>0.08</v>
      </c>
      <c r="G13" s="15" t="n">
        <f aca="false">Scenarios!E44</f>
        <v>129.8229</v>
      </c>
      <c r="H13" s="15" t="n">
        <f aca="false">Scenarios!F44</f>
        <v>2.14790408288967</v>
      </c>
      <c r="I13" s="15" t="n">
        <f aca="false">Scenarios!G44</f>
        <v>58.3257727035273</v>
      </c>
      <c r="J13" s="20" t="n">
        <f aca="false">Scenarios!D59</f>
        <v>0.0925</v>
      </c>
      <c r="K13" s="15" t="n">
        <f aca="false">Scenarios!E59</f>
        <v>136.462060247918</v>
      </c>
      <c r="L13" s="15" t="n">
        <f aca="false">Scenarios!F59</f>
        <v>-0.308787571933515</v>
      </c>
      <c r="M13" s="15" t="n">
        <f aca="false">Scenarios!G59</f>
        <v>45.1215821348641</v>
      </c>
    </row>
    <row r="14" customFormat="false" ht="15" hidden="false" customHeight="false" outlineLevel="0" collapsed="false">
      <c r="A14" s="26" t="n">
        <f aca="false">Scenarios!A30</f>
        <v>46692</v>
      </c>
      <c r="B14" s="20" t="n">
        <f aca="false">Scenarios!D30</f>
        <v>0.0875</v>
      </c>
      <c r="C14" s="15" t="n">
        <f aca="false">Scenarios!E30</f>
        <v>129.8229</v>
      </c>
      <c r="D14" s="15" t="n">
        <f aca="false">Scenarios!F30</f>
        <v>1.07395204144484</v>
      </c>
      <c r="E14" s="15" t="n">
        <f aca="false">Scenarios!G30</f>
        <v>52.6241100030324</v>
      </c>
      <c r="F14" s="20" t="n">
        <f aca="false">Scenarios!D45</f>
        <v>0.08</v>
      </c>
      <c r="G14" s="15" t="n">
        <f aca="false">Scenarios!E45</f>
        <v>129.8229</v>
      </c>
      <c r="H14" s="15" t="n">
        <f aca="false">Scenarios!F45</f>
        <v>2.14790408288967</v>
      </c>
      <c r="I14" s="15" t="n">
        <f aca="false">Scenarios!G45</f>
        <v>59.5785543568033</v>
      </c>
      <c r="J14" s="20" t="n">
        <f aca="false">Scenarios!D60</f>
        <v>0.0925</v>
      </c>
      <c r="K14" s="15" t="n">
        <f aca="false">Scenarios!E60</f>
        <v>137.144370549158</v>
      </c>
      <c r="L14" s="15" t="n">
        <f aca="false">Scenarios!F60</f>
        <v>-0.308787571933515</v>
      </c>
      <c r="M14" s="15" t="n">
        <f aca="false">Scenarios!G60</f>
        <v>44.9822522969719</v>
      </c>
    </row>
    <row r="15" customFormat="false" ht="15" hidden="false" customHeight="false" outlineLevel="0" collapsed="false">
      <c r="A15" s="26" t="n">
        <f aca="false">Scenarios!A31</f>
        <v>46722</v>
      </c>
      <c r="B15" s="20" t="n">
        <f aca="false">Scenarios!D31</f>
        <v>0.0875</v>
      </c>
      <c r="C15" s="15" t="n">
        <f aca="false">Scenarios!E31</f>
        <v>129.8229</v>
      </c>
      <c r="D15" s="15" t="n">
        <f aca="false">Scenarios!F31</f>
        <v>1.07395204144484</v>
      </c>
      <c r="E15" s="15" t="n">
        <f aca="false">Scenarios!G31</f>
        <v>53.1892677067022</v>
      </c>
      <c r="F15" s="20" t="n">
        <f aca="false">Scenarios!D46</f>
        <v>0.08</v>
      </c>
      <c r="G15" s="15" t="n">
        <f aca="false">Scenarios!E46</f>
        <v>129.8229</v>
      </c>
      <c r="H15" s="15" t="n">
        <f aca="false">Scenarios!F46</f>
        <v>2.14790408288967</v>
      </c>
      <c r="I15" s="15" t="n">
        <f aca="false">Scenarios!G46</f>
        <v>60.8582445583597</v>
      </c>
      <c r="J15" s="20" t="n">
        <f aca="false">Scenarios!D61</f>
        <v>0.0925</v>
      </c>
      <c r="K15" s="15" t="n">
        <f aca="false">Scenarios!E61</f>
        <v>137.830092401904</v>
      </c>
      <c r="L15" s="15" t="n">
        <f aca="false">Scenarios!F61</f>
        <v>-0.308787571933515</v>
      </c>
      <c r="M15" s="15" t="n">
        <f aca="false">Scenarios!G61</f>
        <v>44.843352692303</v>
      </c>
    </row>
    <row r="17" customFormat="false" ht="15" hidden="false" customHeight="false" outlineLevel="0" collapsed="false">
      <c r="A17" s="27" t="s">
        <v>131</v>
      </c>
      <c r="E17" s="28" t="n">
        <f aca="false">E15/Data!B47-1</f>
        <v>0.136765712902376</v>
      </c>
      <c r="I17" s="28" t="n">
        <f aca="false">I15/Data!B47-1</f>
        <v>0.300667761452442</v>
      </c>
      <c r="M17" s="28" t="n">
        <f aca="false">M15/Data!B47-1</f>
        <v>-0.0416039176682401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6" min="2" style="0" width="18"/>
  </cols>
  <sheetData>
    <row r="1" customFormat="false" ht="17.35" hidden="false" customHeight="false" outlineLevel="0" collapsed="false">
      <c r="A1" s="1" t="s">
        <v>132</v>
      </c>
    </row>
    <row r="3" customFormat="false" ht="15" hidden="false" customHeight="false" outlineLevel="0" collapsed="false">
      <c r="A3" s="27" t="s">
        <v>133</v>
      </c>
      <c r="B3" s="13" t="n">
        <f aca="false">AVERAGE(Data!I3:I47)</f>
        <v>0.0155605546243513</v>
      </c>
    </row>
    <row r="4" customFormat="false" ht="15" hidden="false" customHeight="false" outlineLevel="0" collapsed="false">
      <c r="A4" s="27" t="s">
        <v>134</v>
      </c>
      <c r="B4" s="13" t="n">
        <f aca="false">SLOPE(Data!B24:B47,Data!J24:J47)</f>
        <v>1.39720869565217</v>
      </c>
    </row>
    <row r="5" customFormat="false" ht="15" hidden="false" customHeight="false" outlineLevel="0" collapsed="false">
      <c r="A5" s="27" t="s">
        <v>135</v>
      </c>
      <c r="B5" s="13" t="n">
        <f aca="false">INTERCEPT(Data!B24:B47,Data!J24:J47)</f>
        <v>16.8798913043478</v>
      </c>
    </row>
    <row r="7" customFormat="false" ht="31.5" hidden="false" customHeight="true" outlineLevel="0" collapsed="false">
      <c r="A7" s="4" t="s">
        <v>17</v>
      </c>
      <c r="B7" s="4" t="s">
        <v>136</v>
      </c>
      <c r="C7" s="4" t="s">
        <v>137</v>
      </c>
      <c r="D7" s="4" t="s">
        <v>138</v>
      </c>
      <c r="E7" s="4" t="s">
        <v>139</v>
      </c>
      <c r="F7" s="4" t="s">
        <v>140</v>
      </c>
    </row>
    <row r="8" customFormat="false" ht="15" hidden="false" customHeight="false" outlineLevel="0" collapsed="false">
      <c r="A8" s="23" t="n">
        <v>46388</v>
      </c>
      <c r="B8" s="15" t="n">
        <f aca="false">Data!$B$47</f>
        <v>46.79</v>
      </c>
      <c r="C8" s="12" t="n">
        <f aca="false">Data!$B$47*EXP($B$3*1)</f>
        <v>47.52377249871</v>
      </c>
      <c r="D8" s="7" t="n">
        <v>47.3</v>
      </c>
      <c r="E8" s="7" t="n">
        <v>47.11</v>
      </c>
      <c r="F8" s="12" t="n">
        <f aca="false">$B$5+$B$4*(25)</f>
        <v>51.8101086956522</v>
      </c>
    </row>
    <row r="9" customFormat="false" ht="15" hidden="false" customHeight="false" outlineLevel="0" collapsed="false">
      <c r="A9" s="23" t="n">
        <v>46419</v>
      </c>
      <c r="B9" s="15" t="n">
        <f aca="false">Data!$B$47</f>
        <v>46.79</v>
      </c>
      <c r="C9" s="12" t="n">
        <f aca="false">Data!$B$47*EXP($B$3*2)</f>
        <v>48.2690522015204</v>
      </c>
      <c r="D9" s="7" t="n">
        <v>47.71</v>
      </c>
      <c r="E9" s="7" t="n">
        <v>47.75</v>
      </c>
      <c r="F9" s="12" t="n">
        <f aca="false">$B$5+$B$4*(26)</f>
        <v>53.2073173913043</v>
      </c>
    </row>
    <row r="10" customFormat="false" ht="15" hidden="false" customHeight="false" outlineLevel="0" collapsed="false">
      <c r="A10" s="23" t="n">
        <v>46447</v>
      </c>
      <c r="B10" s="15" t="n">
        <f aca="false">Data!$B$47</f>
        <v>46.79</v>
      </c>
      <c r="C10" s="12" t="n">
        <f aca="false">Data!$B$47*EXP($B$3*3)</f>
        <v>49.0260195672882</v>
      </c>
      <c r="D10" s="7" t="n">
        <v>48.09</v>
      </c>
      <c r="E10" s="7" t="n">
        <v>48.46</v>
      </c>
      <c r="F10" s="12" t="n">
        <f aca="false">$B$5+$B$4*(27)</f>
        <v>54.6045260869565</v>
      </c>
    </row>
    <row r="11" customFormat="false" ht="15" hidden="false" customHeight="false" outlineLevel="0" collapsed="false">
      <c r="A11" s="23" t="n">
        <v>46478</v>
      </c>
      <c r="B11" s="15" t="n">
        <f aca="false">Data!$B$47</f>
        <v>46.79</v>
      </c>
      <c r="C11" s="12" t="n">
        <f aca="false">Data!$B$47*EXP($B$3*4)</f>
        <v>49.7948578848708</v>
      </c>
      <c r="D11" s="7" t="n">
        <v>48.44</v>
      </c>
      <c r="E11" s="7" t="n">
        <v>49.2</v>
      </c>
      <c r="F11" s="12" t="n">
        <f aca="false">$B$5+$B$4*(28)</f>
        <v>56.0017347826087</v>
      </c>
    </row>
    <row r="12" customFormat="false" ht="15" hidden="false" customHeight="false" outlineLevel="0" collapsed="false">
      <c r="A12" s="23" t="n">
        <v>46508</v>
      </c>
      <c r="B12" s="15" t="n">
        <f aca="false">Data!$B$47</f>
        <v>46.79</v>
      </c>
      <c r="C12" s="12" t="n">
        <f aca="false">Data!$B$47*EXP($B$3*5)</f>
        <v>50.5757533175079</v>
      </c>
      <c r="D12" s="7" t="n">
        <v>48.77</v>
      </c>
      <c r="E12" s="7" t="n">
        <v>49.94</v>
      </c>
      <c r="F12" s="12" t="n">
        <f aca="false">$B$5+$B$4*(29)</f>
        <v>57.3989434782609</v>
      </c>
    </row>
    <row r="13" customFormat="false" ht="15" hidden="false" customHeight="false" outlineLevel="0" collapsed="false">
      <c r="A13" s="23" t="n">
        <v>46539</v>
      </c>
      <c r="B13" s="15" t="n">
        <f aca="false">Data!$B$47</f>
        <v>46.79</v>
      </c>
      <c r="C13" s="12" t="n">
        <f aca="false">Data!$B$47*EXP($B$3*6)</f>
        <v>51.3688949478974</v>
      </c>
      <c r="D13" s="7" t="n">
        <v>49.08</v>
      </c>
      <c r="E13" s="7" t="n">
        <v>50.7</v>
      </c>
      <c r="F13" s="12" t="n">
        <f aca="false">$B$5+$B$4*(30)</f>
        <v>58.796152173913</v>
      </c>
    </row>
    <row r="14" customFormat="false" ht="15" hidden="false" customHeight="false" outlineLevel="0" collapsed="false">
      <c r="A14" s="23" t="n">
        <v>46569</v>
      </c>
      <c r="B14" s="15" t="n">
        <f aca="false">Data!$B$47</f>
        <v>46.79</v>
      </c>
      <c r="C14" s="12" t="n">
        <f aca="false">Data!$B$47*EXP($B$3*7)</f>
        <v>52.1744748239797</v>
      </c>
      <c r="D14" s="7" t="n">
        <v>49.36</v>
      </c>
      <c r="E14" s="7" t="n">
        <v>51.47</v>
      </c>
      <c r="F14" s="12" t="n">
        <f aca="false">$B$5+$B$4*(31)</f>
        <v>60.1933608695652</v>
      </c>
    </row>
    <row r="15" customFormat="false" ht="15" hidden="false" customHeight="false" outlineLevel="0" collapsed="false">
      <c r="A15" s="23" t="n">
        <v>46600</v>
      </c>
      <c r="B15" s="15" t="n">
        <f aca="false">Data!$B$47</f>
        <v>46.79</v>
      </c>
      <c r="C15" s="12" t="n">
        <f aca="false">Data!$B$47*EXP($B$3*8)</f>
        <v>52.9926880054388</v>
      </c>
      <c r="D15" s="7" t="n">
        <v>49.62</v>
      </c>
      <c r="E15" s="7" t="n">
        <v>52.26</v>
      </c>
      <c r="F15" s="12" t="n">
        <f aca="false">$B$5+$B$4*(32)</f>
        <v>61.5905695652174</v>
      </c>
    </row>
    <row r="16" customFormat="false" ht="15" hidden="false" customHeight="false" outlineLevel="0" collapsed="false">
      <c r="A16" s="23" t="n">
        <v>46631</v>
      </c>
      <c r="B16" s="15" t="n">
        <f aca="false">Data!$B$47</f>
        <v>46.79</v>
      </c>
      <c r="C16" s="12" t="n">
        <f aca="false">Data!$B$47*EXP($B$3*9)</f>
        <v>53.8237326109337</v>
      </c>
      <c r="D16" s="7" t="n">
        <v>49.86</v>
      </c>
      <c r="E16" s="7" t="n">
        <v>53.05</v>
      </c>
      <c r="F16" s="12" t="n">
        <f aca="false">$B$5+$B$4*(33)</f>
        <v>62.9877782608696</v>
      </c>
    </row>
    <row r="17" customFormat="false" ht="15" hidden="false" customHeight="false" outlineLevel="0" collapsed="false">
      <c r="A17" s="23" t="n">
        <v>46661</v>
      </c>
      <c r="B17" s="15" t="n">
        <f aca="false">Data!$B$47</f>
        <v>46.79</v>
      </c>
      <c r="C17" s="12" t="n">
        <f aca="false">Data!$B$47*EXP($B$3*10)</f>
        <v>54.6678098660699</v>
      </c>
      <c r="D17" s="7" t="n">
        <v>50.09</v>
      </c>
      <c r="E17" s="7" t="n">
        <v>53.86</v>
      </c>
      <c r="F17" s="12" t="n">
        <f aca="false">$B$5+$B$4*(34)</f>
        <v>64.3849869565217</v>
      </c>
    </row>
    <row r="18" customFormat="false" ht="15" hidden="false" customHeight="false" outlineLevel="0" collapsed="false">
      <c r="A18" s="23" t="n">
        <v>46692</v>
      </c>
      <c r="B18" s="15" t="n">
        <f aca="false">Data!$B$47</f>
        <v>46.79</v>
      </c>
      <c r="C18" s="12" t="n">
        <f aca="false">Data!$B$47*EXP($B$3*11)</f>
        <v>55.5251241521231</v>
      </c>
      <c r="D18" s="7" t="n">
        <v>50.29</v>
      </c>
      <c r="E18" s="7" t="n">
        <v>54.68</v>
      </c>
      <c r="F18" s="12" t="n">
        <f aca="false">$B$5+$B$4*(35)</f>
        <v>65.7821956521739</v>
      </c>
    </row>
    <row r="19" customFormat="false" ht="15" hidden="false" customHeight="false" outlineLevel="0" collapsed="false">
      <c r="A19" s="23" t="n">
        <v>46722</v>
      </c>
      <c r="B19" s="15" t="n">
        <f aca="false">Data!$B$47</f>
        <v>46.79</v>
      </c>
      <c r="C19" s="12" t="n">
        <f aca="false">Data!$B$47*EXP($B$3*12)</f>
        <v>56.3958830555273</v>
      </c>
      <c r="D19" s="7" t="n">
        <v>50.49</v>
      </c>
      <c r="E19" s="7" t="n">
        <v>55.51</v>
      </c>
      <c r="F19" s="12" t="n">
        <f aca="false">$B$5+$B$4*(36)</f>
        <v>67.1794043478261</v>
      </c>
    </row>
    <row r="21" customFormat="false" ht="15" hidden="false" customHeight="false" outlineLevel="0" collapsed="false">
      <c r="A21" s="5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</cols>
  <sheetData>
    <row r="1" customFormat="false" ht="15" hidden="false" customHeight="false" outlineLevel="0" collapsed="false">
      <c r="A1" s="4" t="s">
        <v>17</v>
      </c>
      <c r="B1" s="4" t="s">
        <v>94</v>
      </c>
      <c r="C1" s="4" t="s">
        <v>142</v>
      </c>
      <c r="D1" s="4" t="s">
        <v>143</v>
      </c>
      <c r="E1" s="4" t="s">
        <v>144</v>
      </c>
    </row>
    <row r="2" customFormat="false" ht="15" hidden="false" customHeight="false" outlineLevel="0" collapsed="false">
      <c r="A2" s="29" t="n">
        <f aca="false">Data!A2</f>
        <v>44927</v>
      </c>
      <c r="B2" s="30" t="n">
        <f aca="false">Data!B2</f>
        <v>23.23</v>
      </c>
      <c r="C2" s="30"/>
      <c r="D2" s="30"/>
      <c r="E2" s="30"/>
    </row>
    <row r="3" customFormat="false" ht="15" hidden="false" customHeight="false" outlineLevel="0" collapsed="false">
      <c r="A3" s="29" t="n">
        <f aca="false">Data!A3</f>
        <v>44958</v>
      </c>
      <c r="B3" s="30" t="n">
        <f aca="false">Data!B3</f>
        <v>22.47</v>
      </c>
      <c r="C3" s="30"/>
      <c r="D3" s="30"/>
      <c r="E3" s="30"/>
    </row>
    <row r="4" customFormat="false" ht="15" hidden="false" customHeight="false" outlineLevel="0" collapsed="false">
      <c r="A4" s="29" t="n">
        <f aca="false">Data!A4</f>
        <v>44986</v>
      </c>
      <c r="B4" s="30" t="n">
        <f aca="false">Data!B4</f>
        <v>20.63</v>
      </c>
      <c r="C4" s="30"/>
      <c r="D4" s="30"/>
      <c r="E4" s="30"/>
    </row>
    <row r="5" customFormat="false" ht="15" hidden="false" customHeight="false" outlineLevel="0" collapsed="false">
      <c r="A5" s="29" t="n">
        <f aca="false">Data!A5</f>
        <v>45017</v>
      </c>
      <c r="B5" s="30" t="n">
        <f aca="false">Data!B5</f>
        <v>21.19</v>
      </c>
      <c r="C5" s="30"/>
      <c r="D5" s="30"/>
      <c r="E5" s="30"/>
    </row>
    <row r="6" customFormat="false" ht="15" hidden="false" customHeight="false" outlineLevel="0" collapsed="false">
      <c r="A6" s="29" t="n">
        <f aca="false">Data!A6</f>
        <v>45047</v>
      </c>
      <c r="B6" s="30" t="n">
        <f aca="false">Data!B6</f>
        <v>20.84</v>
      </c>
      <c r="C6" s="30"/>
      <c r="D6" s="30"/>
      <c r="E6" s="30"/>
    </row>
    <row r="7" customFormat="false" ht="15" hidden="false" customHeight="false" outlineLevel="0" collapsed="false">
      <c r="A7" s="29" t="n">
        <f aca="false">Data!A7</f>
        <v>45078</v>
      </c>
      <c r="B7" s="30" t="n">
        <f aca="false">Data!B7</f>
        <v>20.65</v>
      </c>
      <c r="C7" s="30"/>
      <c r="D7" s="30"/>
      <c r="E7" s="30"/>
    </row>
    <row r="8" customFormat="false" ht="15" hidden="false" customHeight="false" outlineLevel="0" collapsed="false">
      <c r="A8" s="29" t="n">
        <f aca="false">Data!A8</f>
        <v>45108</v>
      </c>
      <c r="B8" s="30" t="n">
        <f aca="false">Data!B8</f>
        <v>19.42</v>
      </c>
      <c r="C8" s="30"/>
      <c r="D8" s="30"/>
      <c r="E8" s="30"/>
    </row>
    <row r="9" customFormat="false" ht="15" hidden="false" customHeight="false" outlineLevel="0" collapsed="false">
      <c r="A9" s="29" t="n">
        <f aca="false">Data!A9</f>
        <v>45139</v>
      </c>
      <c r="B9" s="30" t="n">
        <f aca="false">Data!B9</f>
        <v>19.48</v>
      </c>
      <c r="C9" s="30"/>
      <c r="D9" s="30"/>
      <c r="E9" s="30"/>
    </row>
    <row r="10" customFormat="false" ht="15" hidden="false" customHeight="false" outlineLevel="0" collapsed="false">
      <c r="A10" s="29" t="n">
        <f aca="false">Data!A10</f>
        <v>45170</v>
      </c>
      <c r="B10" s="30" t="n">
        <f aca="false">Data!B10</f>
        <v>18.33</v>
      </c>
      <c r="C10" s="30"/>
      <c r="D10" s="30"/>
      <c r="E10" s="30"/>
    </row>
    <row r="11" customFormat="false" ht="15" hidden="false" customHeight="false" outlineLevel="0" collapsed="false">
      <c r="A11" s="29" t="n">
        <f aca="false">Data!A11</f>
        <v>45200</v>
      </c>
      <c r="B11" s="30" t="n">
        <f aca="false">Data!B11</f>
        <v>17.4</v>
      </c>
      <c r="C11" s="30"/>
      <c r="D11" s="30"/>
      <c r="E11" s="30"/>
    </row>
    <row r="12" customFormat="false" ht="15" hidden="false" customHeight="false" outlineLevel="0" collapsed="false">
      <c r="A12" s="29" t="n">
        <f aca="false">Data!A12</f>
        <v>45231</v>
      </c>
      <c r="B12" s="30" t="n">
        <f aca="false">Data!B12</f>
        <v>16.37</v>
      </c>
      <c r="C12" s="30"/>
      <c r="D12" s="30"/>
      <c r="E12" s="30"/>
    </row>
    <row r="13" customFormat="false" ht="15" hidden="false" customHeight="false" outlineLevel="0" collapsed="false">
      <c r="A13" s="29" t="n">
        <f aca="false">Data!A13</f>
        <v>45261</v>
      </c>
      <c r="B13" s="30" t="n">
        <f aca="false">Data!B13</f>
        <v>16.82</v>
      </c>
      <c r="C13" s="30"/>
      <c r="D13" s="30"/>
      <c r="E13" s="30"/>
    </row>
    <row r="14" customFormat="false" ht="15" hidden="false" customHeight="false" outlineLevel="0" collapsed="false">
      <c r="A14" s="29" t="n">
        <f aca="false">Data!A14</f>
        <v>45292</v>
      </c>
      <c r="B14" s="30" t="n">
        <f aca="false">Data!B14</f>
        <v>17.55</v>
      </c>
      <c r="C14" s="30"/>
      <c r="D14" s="30"/>
      <c r="E14" s="30"/>
    </row>
    <row r="15" customFormat="false" ht="15" hidden="false" customHeight="false" outlineLevel="0" collapsed="false">
      <c r="A15" s="29" t="n">
        <f aca="false">Data!A15</f>
        <v>45323</v>
      </c>
      <c r="B15" s="30" t="n">
        <f aca="false">Data!B15</f>
        <v>17.35</v>
      </c>
      <c r="C15" s="30"/>
      <c r="D15" s="30"/>
      <c r="E15" s="30"/>
    </row>
    <row r="16" customFormat="false" ht="15" hidden="false" customHeight="false" outlineLevel="0" collapsed="false">
      <c r="A16" s="29" t="n">
        <f aca="false">Data!A16</f>
        <v>45352</v>
      </c>
      <c r="B16" s="30" t="n">
        <f aca="false">Data!B16</f>
        <v>17.76</v>
      </c>
      <c r="C16" s="30"/>
      <c r="D16" s="30"/>
      <c r="E16" s="30"/>
    </row>
    <row r="17" customFormat="false" ht="15" hidden="false" customHeight="false" outlineLevel="0" collapsed="false">
      <c r="A17" s="29" t="n">
        <f aca="false">Data!A17</f>
        <v>45383</v>
      </c>
      <c r="B17" s="30" t="n">
        <f aca="false">Data!B17</f>
        <v>18.91</v>
      </c>
      <c r="C17" s="30"/>
      <c r="D17" s="30"/>
      <c r="E17" s="30"/>
    </row>
    <row r="18" customFormat="false" ht="15" hidden="false" customHeight="false" outlineLevel="0" collapsed="false">
      <c r="A18" s="29" t="n">
        <f aca="false">Data!A18</f>
        <v>45413</v>
      </c>
      <c r="B18" s="30" t="n">
        <f aca="false">Data!B18</f>
        <v>20.67</v>
      </c>
      <c r="C18" s="30"/>
      <c r="D18" s="30"/>
      <c r="E18" s="30"/>
    </row>
    <row r="19" customFormat="false" ht="15" hidden="false" customHeight="false" outlineLevel="0" collapsed="false">
      <c r="A19" s="29" t="n">
        <f aca="false">Data!A19</f>
        <v>45444</v>
      </c>
      <c r="B19" s="30" t="n">
        <f aca="false">Data!B19</f>
        <v>23.05</v>
      </c>
      <c r="C19" s="30"/>
      <c r="D19" s="30"/>
      <c r="E19" s="30"/>
    </row>
    <row r="20" customFormat="false" ht="15" hidden="false" customHeight="false" outlineLevel="0" collapsed="false">
      <c r="A20" s="29" t="n">
        <f aca="false">Data!A20</f>
        <v>45474</v>
      </c>
      <c r="B20" s="30" t="n">
        <f aca="false">Data!B20</f>
        <v>20.28</v>
      </c>
      <c r="C20" s="30"/>
      <c r="D20" s="30"/>
      <c r="E20" s="30"/>
    </row>
    <row r="21" customFormat="false" ht="15" hidden="false" customHeight="false" outlineLevel="0" collapsed="false">
      <c r="A21" s="29" t="n">
        <f aca="false">Data!A21</f>
        <v>45505</v>
      </c>
      <c r="B21" s="30" t="n">
        <f aca="false">Data!B21</f>
        <v>20.02</v>
      </c>
      <c r="C21" s="30"/>
      <c r="D21" s="30"/>
      <c r="E21" s="30"/>
    </row>
    <row r="22" customFormat="false" ht="15" hidden="false" customHeight="false" outlineLevel="0" collapsed="false">
      <c r="A22" s="29" t="n">
        <f aca="false">Data!A22</f>
        <v>45536</v>
      </c>
      <c r="B22" s="30" t="n">
        <f aca="false">Data!B22</f>
        <v>20.26</v>
      </c>
      <c r="C22" s="30"/>
      <c r="D22" s="30"/>
      <c r="E22" s="30"/>
    </row>
    <row r="23" customFormat="false" ht="15" hidden="false" customHeight="false" outlineLevel="0" collapsed="false">
      <c r="A23" s="29" t="n">
        <f aca="false">Data!A23</f>
        <v>45566</v>
      </c>
      <c r="B23" s="30" t="n">
        <f aca="false">Data!B23</f>
        <v>20.84</v>
      </c>
      <c r="C23" s="30"/>
      <c r="D23" s="30"/>
      <c r="E23" s="30"/>
    </row>
    <row r="24" customFormat="false" ht="15" hidden="false" customHeight="false" outlineLevel="0" collapsed="false">
      <c r="A24" s="29" t="n">
        <f aca="false">Data!A24</f>
        <v>45597</v>
      </c>
      <c r="B24" s="30" t="n">
        <f aca="false">Data!B24</f>
        <v>20.6</v>
      </c>
      <c r="C24" s="30"/>
      <c r="D24" s="30"/>
      <c r="E24" s="30"/>
    </row>
    <row r="25" customFormat="false" ht="15" hidden="false" customHeight="false" outlineLevel="0" collapsed="false">
      <c r="A25" s="29" t="n">
        <f aca="false">Data!A25</f>
        <v>45627</v>
      </c>
      <c r="B25" s="30" t="n">
        <f aca="false">Data!B25</f>
        <v>20.36</v>
      </c>
      <c r="C25" s="30"/>
      <c r="D25" s="30"/>
      <c r="E25" s="30"/>
    </row>
    <row r="26" customFormat="false" ht="15" hidden="false" customHeight="false" outlineLevel="0" collapsed="false">
      <c r="A26" s="29" t="n">
        <f aca="false">Data!A26</f>
        <v>45658</v>
      </c>
      <c r="B26" s="30" t="n">
        <f aca="false">Data!B26</f>
        <v>21.37</v>
      </c>
      <c r="C26" s="30"/>
      <c r="D26" s="30"/>
      <c r="E26" s="30"/>
    </row>
    <row r="27" customFormat="false" ht="15" hidden="false" customHeight="false" outlineLevel="0" collapsed="false">
      <c r="A27" s="29" t="n">
        <f aca="false">Data!A27</f>
        <v>45689</v>
      </c>
      <c r="B27" s="30" t="n">
        <f aca="false">Data!B27</f>
        <v>22.78</v>
      </c>
      <c r="C27" s="30"/>
      <c r="D27" s="30"/>
      <c r="E27" s="30"/>
    </row>
    <row r="28" customFormat="false" ht="15" hidden="false" customHeight="false" outlineLevel="0" collapsed="false">
      <c r="A28" s="29" t="n">
        <f aca="false">Data!A28</f>
        <v>45717</v>
      </c>
      <c r="B28" s="30" t="n">
        <f aca="false">Data!B28</f>
        <v>22.99</v>
      </c>
      <c r="C28" s="30"/>
      <c r="D28" s="30"/>
      <c r="E28" s="30"/>
    </row>
    <row r="29" customFormat="false" ht="15" hidden="false" customHeight="false" outlineLevel="0" collapsed="false">
      <c r="A29" s="29" t="n">
        <f aca="false">Data!A29</f>
        <v>45748</v>
      </c>
      <c r="B29" s="30" t="n">
        <f aca="false">Data!B29</f>
        <v>22.21</v>
      </c>
      <c r="C29" s="30"/>
      <c r="D29" s="30"/>
      <c r="E29" s="30"/>
    </row>
    <row r="30" customFormat="false" ht="15" hidden="false" customHeight="false" outlineLevel="0" collapsed="false">
      <c r="A30" s="29" t="n">
        <f aca="false">Data!A30</f>
        <v>45778</v>
      </c>
      <c r="B30" s="30" t="n">
        <f aca="false">Data!B30</f>
        <v>22.69</v>
      </c>
      <c r="C30" s="30"/>
      <c r="D30" s="30"/>
      <c r="E30" s="30"/>
    </row>
    <row r="31" customFormat="false" ht="15" hidden="false" customHeight="false" outlineLevel="0" collapsed="false">
      <c r="A31" s="29" t="n">
        <f aca="false">Data!A31</f>
        <v>45809</v>
      </c>
      <c r="B31" s="30" t="n">
        <f aca="false">Data!B31</f>
        <v>24.16</v>
      </c>
      <c r="C31" s="30"/>
      <c r="D31" s="30"/>
      <c r="E31" s="30"/>
    </row>
    <row r="32" customFormat="false" ht="15" hidden="false" customHeight="false" outlineLevel="0" collapsed="false">
      <c r="A32" s="29" t="n">
        <f aca="false">Data!A32</f>
        <v>45839</v>
      </c>
      <c r="B32" s="30" t="n">
        <f aca="false">Data!B32</f>
        <v>24.19</v>
      </c>
      <c r="C32" s="30"/>
      <c r="D32" s="30"/>
      <c r="E32" s="30"/>
    </row>
    <row r="33" customFormat="false" ht="15" hidden="false" customHeight="false" outlineLevel="0" collapsed="false">
      <c r="A33" s="29" t="n">
        <f aca="false">Data!A33</f>
        <v>45870</v>
      </c>
      <c r="B33" s="30" t="n">
        <f aca="false">Data!B33</f>
        <v>29.56</v>
      </c>
      <c r="C33" s="30"/>
      <c r="D33" s="30"/>
      <c r="E33" s="30"/>
    </row>
    <row r="34" customFormat="false" ht="15" hidden="false" customHeight="false" outlineLevel="0" collapsed="false">
      <c r="A34" s="29" t="n">
        <f aca="false">Data!A34</f>
        <v>45901</v>
      </c>
      <c r="B34" s="30" t="n">
        <f aca="false">Data!B34</f>
        <v>35.51</v>
      </c>
      <c r="C34" s="30"/>
      <c r="D34" s="30"/>
      <c r="E34" s="30"/>
    </row>
    <row r="35" customFormat="false" ht="15" hidden="false" customHeight="false" outlineLevel="0" collapsed="false">
      <c r="A35" s="29" t="n">
        <f aca="false">Data!A35</f>
        <v>45931</v>
      </c>
      <c r="B35" s="30" t="n">
        <f aca="false">Data!B35</f>
        <v>37.04</v>
      </c>
      <c r="C35" s="30"/>
      <c r="D35" s="30"/>
      <c r="E35" s="30"/>
    </row>
    <row r="36" customFormat="false" ht="15" hidden="false" customHeight="false" outlineLevel="0" collapsed="false">
      <c r="A36" s="29" t="n">
        <f aca="false">Data!A36</f>
        <v>45962</v>
      </c>
      <c r="B36" s="30" t="n">
        <f aca="false">Data!B36</f>
        <v>41.72</v>
      </c>
      <c r="C36" s="30"/>
      <c r="D36" s="30"/>
      <c r="E36" s="30"/>
    </row>
    <row r="37" customFormat="false" ht="15" hidden="false" customHeight="false" outlineLevel="0" collapsed="false">
      <c r="A37" s="29" t="n">
        <f aca="false">Data!A37</f>
        <v>45992</v>
      </c>
      <c r="B37" s="30" t="n">
        <f aca="false">Data!B37</f>
        <v>37.61</v>
      </c>
      <c r="C37" s="30"/>
      <c r="D37" s="30"/>
      <c r="E37" s="30"/>
    </row>
    <row r="38" customFormat="false" ht="15" hidden="false" customHeight="false" outlineLevel="0" collapsed="false">
      <c r="A38" s="29" t="n">
        <f aca="false">Data!A38</f>
        <v>46023</v>
      </c>
      <c r="B38" s="30" t="n">
        <f aca="false">Data!B38</f>
        <v>38.79</v>
      </c>
      <c r="C38" s="30"/>
      <c r="D38" s="30"/>
      <c r="E38" s="30"/>
    </row>
    <row r="39" customFormat="false" ht="15" hidden="false" customHeight="false" outlineLevel="0" collapsed="false">
      <c r="A39" s="29" t="n">
        <f aca="false">Data!A39</f>
        <v>46054</v>
      </c>
      <c r="B39" s="30" t="n">
        <f aca="false">Data!B39</f>
        <v>41.55</v>
      </c>
      <c r="C39" s="30"/>
      <c r="D39" s="30"/>
      <c r="E39" s="30"/>
    </row>
    <row r="40" customFormat="false" ht="15" hidden="false" customHeight="false" outlineLevel="0" collapsed="false">
      <c r="A40" s="29" t="n">
        <f aca="false">Data!A40</f>
        <v>46082</v>
      </c>
      <c r="B40" s="30" t="n">
        <f aca="false">Data!B40</f>
        <v>42.76</v>
      </c>
      <c r="C40" s="30"/>
      <c r="D40" s="30"/>
      <c r="E40" s="30"/>
    </row>
    <row r="41" customFormat="false" ht="15" hidden="false" customHeight="false" outlineLevel="0" collapsed="false">
      <c r="A41" s="29" t="n">
        <f aca="false">Data!A41</f>
        <v>46113</v>
      </c>
      <c r="B41" s="30" t="n">
        <f aca="false">Data!B41</f>
        <v>42.1</v>
      </c>
      <c r="C41" s="30"/>
      <c r="D41" s="30"/>
      <c r="E41" s="30"/>
    </row>
    <row r="42" customFormat="false" ht="15" hidden="false" customHeight="false" outlineLevel="0" collapsed="false">
      <c r="A42" s="29" t="n">
        <f aca="false">Data!A42</f>
        <v>46143</v>
      </c>
      <c r="B42" s="30" t="n">
        <f aca="false">Data!B42</f>
        <v>45.77</v>
      </c>
      <c r="C42" s="30"/>
      <c r="D42" s="30"/>
      <c r="E42" s="30"/>
    </row>
    <row r="43" customFormat="false" ht="15" hidden="false" customHeight="false" outlineLevel="0" collapsed="false">
      <c r="A43" s="29" t="n">
        <f aca="false">Data!A43</f>
        <v>46174</v>
      </c>
      <c r="B43" s="30" t="n">
        <f aca="false">Data!B43</f>
        <v>47.05</v>
      </c>
      <c r="C43" s="30"/>
      <c r="D43" s="30"/>
      <c r="E43" s="30"/>
    </row>
    <row r="44" customFormat="false" ht="15" hidden="false" customHeight="false" outlineLevel="0" collapsed="false">
      <c r="A44" s="29" t="n">
        <f aca="false">Data!A44</f>
        <v>46204</v>
      </c>
      <c r="B44" s="30" t="n">
        <f aca="false">Data!B44</f>
        <v>44.03</v>
      </c>
      <c r="C44" s="30"/>
      <c r="D44" s="30"/>
      <c r="E44" s="30"/>
    </row>
    <row r="45" customFormat="false" ht="15" hidden="false" customHeight="false" outlineLevel="0" collapsed="false">
      <c r="A45" s="29" t="n">
        <f aca="false">Data!A45</f>
        <v>46235</v>
      </c>
      <c r="B45" s="30" t="n">
        <f aca="false">Data!B45</f>
        <v>44.42</v>
      </c>
      <c r="C45" s="30"/>
      <c r="D45" s="30"/>
      <c r="E45" s="30"/>
    </row>
    <row r="46" customFormat="false" ht="15" hidden="false" customHeight="false" outlineLevel="0" collapsed="false">
      <c r="A46" s="29" t="n">
        <f aca="false">Data!A46</f>
        <v>46266</v>
      </c>
      <c r="B46" s="30" t="n">
        <f aca="false">Data!B46</f>
        <v>48.23</v>
      </c>
      <c r="C46" s="30"/>
      <c r="D46" s="30"/>
      <c r="E46" s="30"/>
    </row>
    <row r="47" customFormat="false" ht="15" hidden="false" customHeight="false" outlineLevel="0" collapsed="false">
      <c r="A47" s="29" t="n">
        <f aca="false">Data!A47</f>
        <v>46296</v>
      </c>
      <c r="B47" s="30" t="n">
        <f aca="false">Data!B47</f>
        <v>46.79</v>
      </c>
      <c r="C47" s="30" t="n">
        <f aca="false">Data!B47</f>
        <v>46.79</v>
      </c>
      <c r="D47" s="30" t="n">
        <f aca="false">Data!B47</f>
        <v>46.79</v>
      </c>
      <c r="E47" s="30" t="n">
        <f aca="false">Data!B47</f>
        <v>46.79</v>
      </c>
    </row>
    <row r="48" customFormat="false" ht="15" hidden="false" customHeight="false" outlineLevel="0" collapsed="false">
      <c r="A48" s="29" t="n">
        <f aca="false">Scenarios!A20</f>
        <v>46388</v>
      </c>
      <c r="B48" s="30"/>
      <c r="C48" s="30" t="n">
        <f aca="false">Scenarios!G20</f>
        <v>47.292502160192</v>
      </c>
      <c r="D48" s="30" t="n">
        <f aca="false">Scenarios!G35</f>
        <v>47.7950043203841</v>
      </c>
      <c r="E48" s="30" t="n">
        <f aca="false">Scenarios!G50</f>
        <v>46.6455182950923</v>
      </c>
    </row>
    <row r="49" customFormat="false" ht="15" hidden="false" customHeight="false" outlineLevel="0" collapsed="false">
      <c r="A49" s="29" t="n">
        <f aca="false">Scenarios!A21</f>
        <v>46419</v>
      </c>
      <c r="B49" s="30"/>
      <c r="C49" s="30" t="n">
        <f aca="false">Scenarios!G21</f>
        <v>47.8004009525918</v>
      </c>
      <c r="D49" s="30" t="n">
        <f aca="false">Scenarios!G36</f>
        <v>48.8215951695989</v>
      </c>
      <c r="E49" s="30" t="n">
        <f aca="false">Scenarios!G51</f>
        <v>46.3765084389163</v>
      </c>
    </row>
    <row r="50" customFormat="false" ht="15" hidden="false" customHeight="false" outlineLevel="0" collapsed="false">
      <c r="A50" s="29" t="n">
        <f aca="false">Scenarios!A22</f>
        <v>46447</v>
      </c>
      <c r="B50" s="30"/>
      <c r="C50" s="30" t="n">
        <f aca="false">Scenarios!G22</f>
        <v>48.3137543344409</v>
      </c>
      <c r="D50" s="30" t="n">
        <f aca="false">Scenarios!G37</f>
        <v>50.0010407191421</v>
      </c>
      <c r="E50" s="30" t="n">
        <f aca="false">Scenarios!G52</f>
        <v>46.2333035445602</v>
      </c>
    </row>
    <row r="51" customFormat="false" ht="15" hidden="false" customHeight="false" outlineLevel="0" collapsed="false">
      <c r="A51" s="29" t="n">
        <f aca="false">Scenarios!A23</f>
        <v>46478</v>
      </c>
      <c r="B51" s="30"/>
      <c r="C51" s="30" t="n">
        <f aca="false">Scenarios!G23</f>
        <v>48.8326208854143</v>
      </c>
      <c r="D51" s="30" t="n">
        <f aca="false">Scenarios!G38</f>
        <v>51.0750151142359</v>
      </c>
      <c r="E51" s="30" t="n">
        <f aca="false">Scenarios!G53</f>
        <v>46.0905408491203</v>
      </c>
    </row>
    <row r="52" customFormat="false" ht="15" hidden="false" customHeight="false" outlineLevel="0" collapsed="false">
      <c r="A52" s="29" t="n">
        <f aca="false">Scenarios!A24</f>
        <v>46508</v>
      </c>
      <c r="B52" s="30"/>
      <c r="C52" s="30" t="n">
        <f aca="false">Scenarios!G24</f>
        <v>49.3570598143042</v>
      </c>
      <c r="D52" s="30" t="n">
        <f aca="false">Scenarios!G39</f>
        <v>52.1720574492111</v>
      </c>
      <c r="E52" s="30" t="n">
        <f aca="false">Scenarios!G54</f>
        <v>45.8247316091745</v>
      </c>
    </row>
    <row r="53" customFormat="false" ht="15" hidden="false" customHeight="false" outlineLevel="0" collapsed="false">
      <c r="A53" s="29" t="n">
        <f aca="false">Scenarios!A25</f>
        <v>46539</v>
      </c>
      <c r="B53" s="30"/>
      <c r="C53" s="30" t="n">
        <f aca="false">Scenarios!G25</f>
        <v>49.8871309657771</v>
      </c>
      <c r="D53" s="30" t="n">
        <f aca="false">Scenarios!G40</f>
        <v>53.4324443897694</v>
      </c>
      <c r="E53" s="30" t="n">
        <f aca="false">Scenarios!G55</f>
        <v>45.6832305330935</v>
      </c>
    </row>
    <row r="54" customFormat="false" ht="15" hidden="false" customHeight="false" outlineLevel="0" collapsed="false">
      <c r="A54" s="29" t="n">
        <f aca="false">Scenarios!A26</f>
        <v>46569</v>
      </c>
      <c r="B54" s="30"/>
      <c r="C54" s="30" t="n">
        <f aca="false">Scenarios!G26</f>
        <v>50.4228948272023</v>
      </c>
      <c r="D54" s="30" t="n">
        <f aca="false">Scenarios!G41</f>
        <v>54.580122044405</v>
      </c>
      <c r="E54" s="30" t="n">
        <f aca="false">Scenarios!G56</f>
        <v>45.5421663947495</v>
      </c>
    </row>
    <row r="55" customFormat="false" ht="15" hidden="false" customHeight="false" outlineLevel="0" collapsed="false">
      <c r="A55" s="29" t="n">
        <f aca="false">Scenarios!A27</f>
        <v>46600</v>
      </c>
      <c r="B55" s="30"/>
      <c r="C55" s="30" t="n">
        <f aca="false">Scenarios!G27</f>
        <v>50.9644125355546</v>
      </c>
      <c r="D55" s="30" t="n">
        <f aca="false">Scenarios!G42</f>
        <v>55.752450714243</v>
      </c>
      <c r="E55" s="30" t="n">
        <f aca="false">Scenarios!G57</f>
        <v>45.4015378449333</v>
      </c>
    </row>
    <row r="56" customFormat="false" ht="15" hidden="false" customHeight="false" outlineLevel="0" collapsed="false">
      <c r="A56" s="29" t="n">
        <f aca="false">Scenarios!A28</f>
        <v>46631</v>
      </c>
      <c r="B56" s="30"/>
      <c r="C56" s="30" t="n">
        <f aca="false">Scenarios!G28</f>
        <v>51.5117458843906</v>
      </c>
      <c r="D56" s="30" t="n">
        <f aca="false">Scenarios!G43</f>
        <v>57.0993337819226</v>
      </c>
      <c r="E56" s="30" t="n">
        <f aca="false">Scenarios!G58</f>
        <v>45.2613435386014</v>
      </c>
    </row>
    <row r="57" customFormat="false" ht="15" hidden="false" customHeight="false" outlineLevel="0" collapsed="false">
      <c r="A57" s="29" t="n">
        <f aca="false">Scenarios!A29</f>
        <v>46661</v>
      </c>
      <c r="B57" s="30"/>
      <c r="C57" s="30" t="n">
        <f aca="false">Scenarios!G29</f>
        <v>52.0649573308998</v>
      </c>
      <c r="D57" s="30" t="n">
        <f aca="false">Scenarios!G44</f>
        <v>58.3257727035273</v>
      </c>
      <c r="E57" s="30" t="n">
        <f aca="false">Scenarios!G59</f>
        <v>45.1215821348641</v>
      </c>
    </row>
    <row r="58" customFormat="false" ht="15" hidden="false" customHeight="false" outlineLevel="0" collapsed="false">
      <c r="A58" s="29" t="n">
        <f aca="false">Scenarios!A30</f>
        <v>46692</v>
      </c>
      <c r="B58" s="30"/>
      <c r="C58" s="30" t="n">
        <f aca="false">Scenarios!G30</f>
        <v>52.6241100030324</v>
      </c>
      <c r="D58" s="30" t="n">
        <f aca="false">Scenarios!G45</f>
        <v>59.5785543568033</v>
      </c>
      <c r="E58" s="30" t="n">
        <f aca="false">Scenarios!G60</f>
        <v>44.9822522969719</v>
      </c>
    </row>
    <row r="59" customFormat="false" ht="15" hidden="false" customHeight="false" outlineLevel="0" collapsed="false">
      <c r="A59" s="29" t="n">
        <f aca="false">Scenarios!A31</f>
        <v>46722</v>
      </c>
      <c r="B59" s="30"/>
      <c r="C59" s="30" t="n">
        <f aca="false">Scenarios!G31</f>
        <v>53.1892677067022</v>
      </c>
      <c r="D59" s="30" t="n">
        <f aca="false">Scenarios!G46</f>
        <v>60.8582445583597</v>
      </c>
      <c r="E59" s="30" t="n">
        <f aca="false">Scenarios!G61</f>
        <v>44.843352692303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3" min="3" style="0" width="20"/>
    <col collapsed="false" customWidth="true" hidden="false" outlineLevel="0" max="4" min="4" style="0" width="50"/>
    <col collapsed="false" customWidth="true" hidden="false" outlineLevel="0" max="5" min="5" style="0" width="40"/>
  </cols>
  <sheetData>
    <row r="1" customFormat="false" ht="17.35" hidden="false" customHeight="false" outlineLevel="0" collapsed="false">
      <c r="A1" s="1" t="s">
        <v>145</v>
      </c>
    </row>
    <row r="3" customFormat="false" ht="23.85" hidden="false" customHeight="false" outlineLevel="0" collapsed="false">
      <c r="A3" s="4" t="s">
        <v>146</v>
      </c>
      <c r="B3" s="4" t="s">
        <v>147</v>
      </c>
      <c r="C3" s="4" t="s">
        <v>148</v>
      </c>
      <c r="D3" s="4" t="s">
        <v>149</v>
      </c>
      <c r="E3" s="4" t="s">
        <v>150</v>
      </c>
    </row>
    <row r="4" customFormat="false" ht="60" hidden="false" customHeight="true" outlineLevel="0" collapsed="false">
      <c r="A4" s="31" t="s">
        <v>151</v>
      </c>
      <c r="B4" s="31" t="s">
        <v>152</v>
      </c>
      <c r="C4" s="31" t="s">
        <v>153</v>
      </c>
      <c r="D4" s="32" t="str">
        <f aca="false">"Correlation of return with change in FX: "&amp;TEXT('Summary Stats'!B15,"0.00")&amp;"; coefficient p-value "&amp;TEXT(Regression!E8,"0.00")</f>
        <v>Correlation of return with change in FX: -0.12; coefficient p-value 0.48</v>
      </c>
      <c r="E4" s="31" t="s">
        <v>154</v>
      </c>
    </row>
    <row r="5" customFormat="false" ht="60" hidden="false" customHeight="true" outlineLevel="0" collapsed="false">
      <c r="A5" s="31" t="s">
        <v>21</v>
      </c>
      <c r="B5" s="31" t="s">
        <v>155</v>
      </c>
      <c r="C5" s="31" t="s">
        <v>153</v>
      </c>
      <c r="D5" s="32" t="str">
        <f aca="false">"Correlation of return with change in rate: "&amp;TEXT('Summary Stats'!B14,"0.00")&amp;"; coefficient p-value "&amp;TEXT(Regression!E7,"0.00")</f>
        <v>Correlation of return with change in rate: -0.07; coefficient p-value 0.68</v>
      </c>
      <c r="E5" s="31" t="s">
        <v>156</v>
      </c>
    </row>
    <row r="6" customFormat="false" ht="60" hidden="false" customHeight="true" outlineLevel="0" collapsed="false">
      <c r="A6" s="31" t="s">
        <v>157</v>
      </c>
      <c r="B6" s="31" t="s">
        <v>158</v>
      </c>
      <c r="C6" s="31" t="s">
        <v>159</v>
      </c>
      <c r="D6" s="32" t="str">
        <f aca="false">"Price vs inflation (levels) correlation: "&amp;TEXT('Summary Stats'!B17,"0.00")&amp;"; inflation and rates move together, so it is left out to avoid double counting"</f>
        <v>Price vs inflation (levels) correlation: -0.74; inflation and rates move together, so it is left out to avoid double counting</v>
      </c>
      <c r="E6" s="31" t="s">
        <v>160</v>
      </c>
    </row>
    <row r="7" customFormat="false" ht="60" hidden="false" customHeight="true" outlineLevel="0" collapsed="false">
      <c r="A7" s="31" t="s">
        <v>161</v>
      </c>
      <c r="B7" s="31" t="s">
        <v>162</v>
      </c>
      <c r="C7" s="31" t="s">
        <v>163</v>
      </c>
      <c r="D7" s="31" t="s">
        <v>164</v>
      </c>
      <c r="E7" s="31" t="s">
        <v>165</v>
      </c>
    </row>
    <row r="8" customFormat="false" ht="60" hidden="false" customHeight="true" outlineLevel="0" collapsed="false">
      <c r="A8" s="31" t="s">
        <v>166</v>
      </c>
      <c r="B8" s="31" t="s">
        <v>167</v>
      </c>
      <c r="C8" s="31" t="s">
        <v>163</v>
      </c>
      <c r="D8" s="31" t="s">
        <v>168</v>
      </c>
      <c r="E8" s="31" t="s">
        <v>169</v>
      </c>
    </row>
    <row r="9" customFormat="false" ht="60" hidden="false" customHeight="true" outlineLevel="0" collapsed="false">
      <c r="A9" s="31" t="s">
        <v>170</v>
      </c>
      <c r="B9" s="31" t="s">
        <v>171</v>
      </c>
      <c r="C9" s="31" t="s">
        <v>163</v>
      </c>
      <c r="D9" s="31" t="s">
        <v>172</v>
      </c>
      <c r="E9" s="31" t="s">
        <v>173</v>
      </c>
    </row>
    <row r="11" customFormat="false" ht="15" hidden="false" customHeight="false" outlineLevel="0" collapsed="false">
      <c r="A11" s="5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2026-10-19T07:56:09Z</dcterms:created>
  <dc:creator>openpyxl</dc:creator>
  <dc:description/>
  <dc:language>en-US</dc:language>
  <cp:lastModifiedBy/>
  <dcterms:modified xsi:type="dcterms:W3CDTF">2026-10-19T10:56:11Z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